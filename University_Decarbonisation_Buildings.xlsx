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Nabha\Documents\Codex\2026-10-25\referenced-chatgpt-conversation-this-is-an\outputs\decarbonisation\"/>
    </mc:Choice>
  </mc:AlternateContent>
  <xr:revisionPtr revIDLastSave="0" documentId="13_ncr:1_{63B9256B-61D2-4559-91C7-D939D4403633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Summary" sheetId="1" r:id="rId1"/>
    <sheet name="Assumptions" sheetId="2" r:id="rId2"/>
    <sheet name="Energy" sheetId="3" r:id="rId3"/>
    <sheet name="CAPEX" sheetId="4" r:id="rId4"/>
    <sheet name="Consultant" sheetId="5" r:id="rId5"/>
    <sheet name="Buildings" sheetId="6" r:id="rId6"/>
    <sheet name="QA" sheetId="7" r:id="rId7"/>
    <sheet name="Guide and source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7" i="7" l="1"/>
  <c r="B36" i="7"/>
  <c r="B35" i="7"/>
  <c r="B30" i="7"/>
  <c r="D26" i="7"/>
  <c r="C26" i="7"/>
  <c r="B26" i="7"/>
  <c r="D25" i="7"/>
  <c r="C25" i="7"/>
  <c r="B25" i="7"/>
  <c r="D24" i="7"/>
  <c r="C24" i="7"/>
  <c r="B24" i="7"/>
  <c r="D23" i="7"/>
  <c r="C23" i="7"/>
  <c r="B23" i="7"/>
  <c r="D22" i="7"/>
  <c r="C22" i="7"/>
  <c r="B22" i="7"/>
  <c r="D21" i="7"/>
  <c r="C21" i="7"/>
  <c r="B21" i="7"/>
  <c r="D20" i="7"/>
  <c r="C20" i="7"/>
  <c r="B20" i="7"/>
  <c r="D19" i="7"/>
  <c r="C19" i="7"/>
  <c r="B19" i="7"/>
  <c r="D18" i="7"/>
  <c r="C18" i="7"/>
  <c r="B18" i="7"/>
  <c r="D17" i="7"/>
  <c r="C17" i="7"/>
  <c r="B17" i="7"/>
  <c r="D16" i="7"/>
  <c r="C16" i="7"/>
  <c r="B16" i="7"/>
  <c r="D15" i="7"/>
  <c r="C15" i="7"/>
  <c r="B15" i="7"/>
  <c r="D14" i="7"/>
  <c r="C14" i="7"/>
  <c r="B14" i="7"/>
  <c r="D13" i="7"/>
  <c r="C13" i="7"/>
  <c r="B13" i="7"/>
  <c r="D12" i="7"/>
  <c r="C12" i="7"/>
  <c r="B12" i="7"/>
  <c r="D11" i="7"/>
  <c r="C11" i="7"/>
  <c r="B11" i="7"/>
  <c r="D10" i="7"/>
  <c r="C10" i="7"/>
  <c r="B10" i="7"/>
  <c r="D9" i="7"/>
  <c r="C9" i="7"/>
  <c r="B9" i="7"/>
  <c r="D8" i="7"/>
  <c r="C8" i="7"/>
  <c r="B8" i="7"/>
  <c r="D7" i="7"/>
  <c r="C7" i="7"/>
  <c r="B7" i="7"/>
  <c r="F26" i="5"/>
  <c r="E26" i="5"/>
  <c r="H26" i="5" s="1"/>
  <c r="F25" i="5"/>
  <c r="E25" i="5"/>
  <c r="H25" i="5" s="1"/>
  <c r="F24" i="5"/>
  <c r="E24" i="5"/>
  <c r="H24" i="5" s="1"/>
  <c r="F7" i="5"/>
  <c r="E7" i="5"/>
  <c r="H7" i="5" s="1"/>
  <c r="O26" i="4"/>
  <c r="N26" i="4"/>
  <c r="J26" i="4"/>
  <c r="H26" i="4"/>
  <c r="E26" i="4"/>
  <c r="D26" i="4"/>
  <c r="F26" i="4" s="1"/>
  <c r="G26" i="4" s="1"/>
  <c r="C26" i="4"/>
  <c r="B26" i="4"/>
  <c r="O25" i="4"/>
  <c r="N25" i="4"/>
  <c r="J25" i="4"/>
  <c r="H25" i="4"/>
  <c r="E25" i="4"/>
  <c r="D25" i="4"/>
  <c r="F25" i="4" s="1"/>
  <c r="G25" i="4" s="1"/>
  <c r="C25" i="4"/>
  <c r="B25" i="4"/>
  <c r="O24" i="4"/>
  <c r="N24" i="4"/>
  <c r="J24" i="4"/>
  <c r="H24" i="4"/>
  <c r="E24" i="4"/>
  <c r="D24" i="4"/>
  <c r="F24" i="4" s="1"/>
  <c r="G24" i="4" s="1"/>
  <c r="C24" i="4"/>
  <c r="B24" i="4"/>
  <c r="O23" i="4"/>
  <c r="N23" i="4"/>
  <c r="J23" i="4"/>
  <c r="H23" i="4"/>
  <c r="E23" i="4"/>
  <c r="D23" i="4"/>
  <c r="F23" i="4" s="1"/>
  <c r="G23" i="4" s="1"/>
  <c r="C23" i="4"/>
  <c r="B23" i="4"/>
  <c r="O22" i="4"/>
  <c r="N22" i="4"/>
  <c r="J22" i="4"/>
  <c r="H22" i="4"/>
  <c r="E22" i="4"/>
  <c r="D22" i="4"/>
  <c r="F22" i="4" s="1"/>
  <c r="C22" i="4"/>
  <c r="B22" i="4"/>
  <c r="O21" i="4"/>
  <c r="N21" i="4"/>
  <c r="J21" i="4"/>
  <c r="H21" i="4"/>
  <c r="E21" i="4"/>
  <c r="D21" i="4"/>
  <c r="F21" i="4" s="1"/>
  <c r="G21" i="4" s="1"/>
  <c r="C21" i="4"/>
  <c r="B21" i="4"/>
  <c r="O20" i="4"/>
  <c r="N20" i="4"/>
  <c r="J20" i="4"/>
  <c r="H20" i="4"/>
  <c r="E20" i="4"/>
  <c r="D20" i="4"/>
  <c r="F20" i="4" s="1"/>
  <c r="G20" i="4" s="1"/>
  <c r="C20" i="4"/>
  <c r="B20" i="4"/>
  <c r="O19" i="4"/>
  <c r="N19" i="4"/>
  <c r="J19" i="4"/>
  <c r="H19" i="4"/>
  <c r="E19" i="4"/>
  <c r="D19" i="4"/>
  <c r="F19" i="4" s="1"/>
  <c r="G19" i="4" s="1"/>
  <c r="C19" i="4"/>
  <c r="B19" i="4"/>
  <c r="O18" i="4"/>
  <c r="N18" i="4"/>
  <c r="J18" i="4"/>
  <c r="H18" i="4"/>
  <c r="E18" i="4"/>
  <c r="D18" i="4"/>
  <c r="F18" i="4" s="1"/>
  <c r="G18" i="4" s="1"/>
  <c r="C18" i="4"/>
  <c r="B18" i="4"/>
  <c r="O17" i="4"/>
  <c r="N17" i="4"/>
  <c r="J17" i="4"/>
  <c r="H17" i="4"/>
  <c r="E17" i="4"/>
  <c r="D17" i="4"/>
  <c r="F17" i="4" s="1"/>
  <c r="C17" i="4"/>
  <c r="B17" i="4"/>
  <c r="O16" i="4"/>
  <c r="N16" i="4"/>
  <c r="J16" i="4"/>
  <c r="H16" i="4"/>
  <c r="E16" i="4"/>
  <c r="D16" i="4"/>
  <c r="F16" i="4" s="1"/>
  <c r="G16" i="4" s="1"/>
  <c r="C16" i="4"/>
  <c r="B16" i="4"/>
  <c r="O15" i="4"/>
  <c r="N15" i="4"/>
  <c r="J15" i="4"/>
  <c r="H15" i="4"/>
  <c r="E15" i="4"/>
  <c r="D15" i="4"/>
  <c r="F15" i="4" s="1"/>
  <c r="G15" i="4" s="1"/>
  <c r="C15" i="4"/>
  <c r="B15" i="4"/>
  <c r="O14" i="4"/>
  <c r="N14" i="4"/>
  <c r="J14" i="4"/>
  <c r="H14" i="4"/>
  <c r="E14" i="4"/>
  <c r="D14" i="4"/>
  <c r="F14" i="4" s="1"/>
  <c r="G14" i="4" s="1"/>
  <c r="C14" i="4"/>
  <c r="B14" i="4"/>
  <c r="O13" i="4"/>
  <c r="N13" i="4"/>
  <c r="J13" i="4"/>
  <c r="H13" i="4"/>
  <c r="E13" i="4"/>
  <c r="D13" i="4"/>
  <c r="F13" i="4" s="1"/>
  <c r="G13" i="4" s="1"/>
  <c r="C13" i="4"/>
  <c r="B13" i="4"/>
  <c r="O12" i="4"/>
  <c r="N12" i="4"/>
  <c r="J12" i="4"/>
  <c r="H12" i="4"/>
  <c r="E12" i="4"/>
  <c r="D12" i="4"/>
  <c r="F12" i="4" s="1"/>
  <c r="C12" i="4"/>
  <c r="B12" i="4"/>
  <c r="O11" i="4"/>
  <c r="N11" i="4"/>
  <c r="J11" i="4"/>
  <c r="H11" i="4"/>
  <c r="E11" i="4"/>
  <c r="D11" i="4"/>
  <c r="F11" i="4" s="1"/>
  <c r="G11" i="4" s="1"/>
  <c r="C11" i="4"/>
  <c r="B11" i="4"/>
  <c r="O10" i="4"/>
  <c r="N10" i="4"/>
  <c r="J10" i="4"/>
  <c r="H10" i="4"/>
  <c r="E10" i="4"/>
  <c r="D10" i="4"/>
  <c r="F10" i="4" s="1"/>
  <c r="G10" i="4" s="1"/>
  <c r="C10" i="4"/>
  <c r="B10" i="4"/>
  <c r="O9" i="4"/>
  <c r="N9" i="4"/>
  <c r="J9" i="4"/>
  <c r="H9" i="4"/>
  <c r="E9" i="4"/>
  <c r="D9" i="4"/>
  <c r="F9" i="4" s="1"/>
  <c r="G9" i="4" s="1"/>
  <c r="C9" i="4"/>
  <c r="B9" i="4"/>
  <c r="O8" i="4"/>
  <c r="N8" i="4"/>
  <c r="J8" i="4"/>
  <c r="H8" i="4"/>
  <c r="E8" i="4"/>
  <c r="D8" i="4"/>
  <c r="F8" i="4" s="1"/>
  <c r="G8" i="4" s="1"/>
  <c r="C8" i="4"/>
  <c r="B8" i="4"/>
  <c r="O7" i="4"/>
  <c r="O28" i="4" s="1"/>
  <c r="N7" i="4"/>
  <c r="N28" i="4" s="1"/>
  <c r="J7" i="4"/>
  <c r="J28" i="4" s="1"/>
  <c r="H7" i="4"/>
  <c r="E7" i="4"/>
  <c r="D7" i="4"/>
  <c r="C7" i="4"/>
  <c r="B7" i="4"/>
  <c r="Z26" i="3"/>
  <c r="L26" i="3"/>
  <c r="J26" i="3"/>
  <c r="H26" i="3"/>
  <c r="F26" i="3"/>
  <c r="E26" i="3"/>
  <c r="D26" i="3"/>
  <c r="C26" i="3"/>
  <c r="B26" i="3"/>
  <c r="Z25" i="3"/>
  <c r="L25" i="3"/>
  <c r="J25" i="3"/>
  <c r="H25" i="3"/>
  <c r="F25" i="3"/>
  <c r="E25" i="3"/>
  <c r="D25" i="3"/>
  <c r="C25" i="3"/>
  <c r="B25" i="3"/>
  <c r="Z24" i="3"/>
  <c r="L24" i="3"/>
  <c r="J24" i="3"/>
  <c r="H24" i="3"/>
  <c r="F24" i="3"/>
  <c r="E24" i="3"/>
  <c r="D24" i="3"/>
  <c r="C24" i="3"/>
  <c r="B24" i="3"/>
  <c r="Z23" i="3"/>
  <c r="L23" i="3"/>
  <c r="J23" i="3"/>
  <c r="H23" i="3"/>
  <c r="F23" i="3"/>
  <c r="E23" i="3"/>
  <c r="D23" i="3"/>
  <c r="C23" i="3"/>
  <c r="B23" i="3"/>
  <c r="Z22" i="3"/>
  <c r="W22" i="3"/>
  <c r="R22" i="3"/>
  <c r="L22" i="3"/>
  <c r="M22" i="3" s="1"/>
  <c r="J22" i="3"/>
  <c r="H22" i="3"/>
  <c r="F22" i="3"/>
  <c r="E22" i="3"/>
  <c r="D22" i="3"/>
  <c r="C22" i="3"/>
  <c r="B22" i="3"/>
  <c r="Z21" i="3"/>
  <c r="L21" i="3"/>
  <c r="J21" i="3"/>
  <c r="H21" i="3"/>
  <c r="F21" i="3"/>
  <c r="E21" i="3"/>
  <c r="D21" i="3"/>
  <c r="C21" i="3"/>
  <c r="B21" i="3"/>
  <c r="Z20" i="3"/>
  <c r="L20" i="3"/>
  <c r="J20" i="3"/>
  <c r="H20" i="3"/>
  <c r="F20" i="3"/>
  <c r="E20" i="3"/>
  <c r="D20" i="3"/>
  <c r="C20" i="3"/>
  <c r="B20" i="3"/>
  <c r="Z19" i="3"/>
  <c r="L19" i="3"/>
  <c r="J19" i="3"/>
  <c r="H19" i="3"/>
  <c r="F19" i="3"/>
  <c r="E19" i="3"/>
  <c r="D19" i="3"/>
  <c r="C19" i="3"/>
  <c r="B19" i="3"/>
  <c r="Z18" i="3"/>
  <c r="L18" i="3"/>
  <c r="J18" i="3"/>
  <c r="H18" i="3"/>
  <c r="F18" i="3"/>
  <c r="E18" i="3"/>
  <c r="D18" i="3"/>
  <c r="C18" i="3"/>
  <c r="B18" i="3"/>
  <c r="Z17" i="3"/>
  <c r="L17" i="3"/>
  <c r="J17" i="3"/>
  <c r="H17" i="3"/>
  <c r="F17" i="3"/>
  <c r="E17" i="3"/>
  <c r="D17" i="3"/>
  <c r="C17" i="3"/>
  <c r="B17" i="3"/>
  <c r="Z16" i="3"/>
  <c r="L16" i="3"/>
  <c r="J16" i="3"/>
  <c r="H16" i="3"/>
  <c r="F16" i="3"/>
  <c r="E16" i="3"/>
  <c r="D16" i="3"/>
  <c r="C16" i="3"/>
  <c r="B16" i="3"/>
  <c r="Z15" i="3"/>
  <c r="L15" i="3"/>
  <c r="J15" i="3"/>
  <c r="H15" i="3"/>
  <c r="F15" i="3"/>
  <c r="E15" i="3"/>
  <c r="D15" i="3"/>
  <c r="C15" i="3"/>
  <c r="B15" i="3"/>
  <c r="Z14" i="3"/>
  <c r="L14" i="3"/>
  <c r="J14" i="3"/>
  <c r="H14" i="3"/>
  <c r="F14" i="3"/>
  <c r="E14" i="3"/>
  <c r="D14" i="3"/>
  <c r="C14" i="3"/>
  <c r="B14" i="3"/>
  <c r="Z13" i="3"/>
  <c r="L13" i="3"/>
  <c r="J13" i="3"/>
  <c r="H13" i="3"/>
  <c r="F13" i="3"/>
  <c r="E13" i="3"/>
  <c r="D13" i="3"/>
  <c r="C13" i="3"/>
  <c r="B13" i="3"/>
  <c r="Z12" i="3"/>
  <c r="L12" i="3"/>
  <c r="J12" i="3"/>
  <c r="H12" i="3"/>
  <c r="F12" i="3"/>
  <c r="E12" i="3"/>
  <c r="D12" i="3"/>
  <c r="C12" i="3"/>
  <c r="B12" i="3"/>
  <c r="Z11" i="3"/>
  <c r="L11" i="3"/>
  <c r="J11" i="3"/>
  <c r="H11" i="3"/>
  <c r="F11" i="3"/>
  <c r="E11" i="3"/>
  <c r="D11" i="3"/>
  <c r="C11" i="3"/>
  <c r="B11" i="3"/>
  <c r="Z10" i="3"/>
  <c r="L10" i="3"/>
  <c r="J10" i="3"/>
  <c r="H10" i="3"/>
  <c r="F10" i="3"/>
  <c r="E10" i="3"/>
  <c r="D10" i="3"/>
  <c r="C10" i="3"/>
  <c r="B10" i="3"/>
  <c r="Z9" i="3"/>
  <c r="L9" i="3"/>
  <c r="J9" i="3"/>
  <c r="H9" i="3"/>
  <c r="F9" i="3"/>
  <c r="E9" i="3"/>
  <c r="D9" i="3"/>
  <c r="C9" i="3"/>
  <c r="B9" i="3"/>
  <c r="Z8" i="3"/>
  <c r="Z28" i="3" s="1"/>
  <c r="W8" i="3"/>
  <c r="L8" i="3"/>
  <c r="M8" i="3" s="1"/>
  <c r="J8" i="3"/>
  <c r="H8" i="3"/>
  <c r="F8" i="3"/>
  <c r="E8" i="3"/>
  <c r="D8" i="3"/>
  <c r="C8" i="3"/>
  <c r="B8" i="3"/>
  <c r="Z7" i="3"/>
  <c r="L7" i="3"/>
  <c r="J7" i="3"/>
  <c r="H7" i="3"/>
  <c r="F7" i="3"/>
  <c r="E7" i="3"/>
  <c r="D7" i="3"/>
  <c r="C7" i="3"/>
  <c r="B7" i="3"/>
  <c r="B24" i="2"/>
  <c r="B7" i="1"/>
  <c r="I26" i="4" l="1"/>
  <c r="K26" i="4" s="1"/>
  <c r="M26" i="4" s="1"/>
  <c r="L26" i="4"/>
  <c r="P26" i="4" s="1"/>
  <c r="J26" i="7"/>
  <c r="I25" i="4"/>
  <c r="K25" i="4" s="1"/>
  <c r="M25" i="4" s="1"/>
  <c r="L25" i="4"/>
  <c r="P25" i="4" s="1"/>
  <c r="J25" i="7"/>
  <c r="I24" i="4"/>
  <c r="K24" i="4" s="1"/>
  <c r="M24" i="4" s="1"/>
  <c r="L24" i="4"/>
  <c r="P24" i="4" s="1"/>
  <c r="J24" i="7"/>
  <c r="I23" i="4"/>
  <c r="K23" i="4" s="1"/>
  <c r="M23" i="4" s="1"/>
  <c r="L23" i="4"/>
  <c r="P23" i="4" s="1"/>
  <c r="J23" i="7"/>
  <c r="G22" i="4"/>
  <c r="E27" i="1"/>
  <c r="I21" i="4"/>
  <c r="K21" i="4" s="1"/>
  <c r="M21" i="4" s="1"/>
  <c r="L21" i="4"/>
  <c r="J21" i="7"/>
  <c r="I20" i="4"/>
  <c r="K20" i="4" s="1"/>
  <c r="M20" i="4" s="1"/>
  <c r="L20" i="4"/>
  <c r="P20" i="4" s="1"/>
  <c r="J20" i="7"/>
  <c r="I19" i="4"/>
  <c r="K19" i="4" s="1"/>
  <c r="M19" i="4" s="1"/>
  <c r="L19" i="4"/>
  <c r="P19" i="4" s="1"/>
  <c r="J19" i="7"/>
  <c r="I18" i="4"/>
  <c r="K18" i="4" s="1"/>
  <c r="M18" i="4" s="1"/>
  <c r="L18" i="4"/>
  <c r="P18" i="4" s="1"/>
  <c r="J18" i="7"/>
  <c r="G17" i="4"/>
  <c r="E26" i="1"/>
  <c r="I16" i="4"/>
  <c r="K16" i="4" s="1"/>
  <c r="M16" i="4" s="1"/>
  <c r="L16" i="4"/>
  <c r="P16" i="4" s="1"/>
  <c r="J16" i="7"/>
  <c r="I15" i="4"/>
  <c r="K15" i="4" s="1"/>
  <c r="M15" i="4" s="1"/>
  <c r="L15" i="4"/>
  <c r="P15" i="4" s="1"/>
  <c r="J15" i="7"/>
  <c r="I14" i="4"/>
  <c r="K14" i="4" s="1"/>
  <c r="M14" i="4" s="1"/>
  <c r="L14" i="4"/>
  <c r="P14" i="4" s="1"/>
  <c r="J14" i="7"/>
  <c r="I13" i="4"/>
  <c r="K13" i="4" s="1"/>
  <c r="M13" i="4" s="1"/>
  <c r="L13" i="4"/>
  <c r="P13" i="4" s="1"/>
  <c r="J13" i="7"/>
  <c r="G12" i="4"/>
  <c r="E25" i="1"/>
  <c r="I11" i="4"/>
  <c r="K11" i="4" s="1"/>
  <c r="M11" i="4" s="1"/>
  <c r="L11" i="4"/>
  <c r="P11" i="4" s="1"/>
  <c r="J11" i="7"/>
  <c r="I10" i="4"/>
  <c r="K10" i="4" s="1"/>
  <c r="M10" i="4" s="1"/>
  <c r="J10" i="7"/>
  <c r="L10" i="4"/>
  <c r="P10" i="4" s="1"/>
  <c r="I9" i="4"/>
  <c r="K9" i="4" s="1"/>
  <c r="M9" i="4" s="1"/>
  <c r="L9" i="4"/>
  <c r="P9" i="4" s="1"/>
  <c r="J9" i="7"/>
  <c r="L8" i="4"/>
  <c r="J8" i="7"/>
  <c r="I8" i="4"/>
  <c r="K8" i="4" s="1"/>
  <c r="M8" i="4" s="1"/>
  <c r="AA8" i="3"/>
  <c r="D28" i="4"/>
  <c r="F7" i="4"/>
  <c r="AA26" i="3"/>
  <c r="M26" i="3"/>
  <c r="R26" i="3"/>
  <c r="G26" i="3"/>
  <c r="I26" i="3" s="1"/>
  <c r="Q26" i="3"/>
  <c r="S26" i="3" s="1"/>
  <c r="W26" i="3"/>
  <c r="AA25" i="3"/>
  <c r="M25" i="3"/>
  <c r="R25" i="3"/>
  <c r="Q25" i="3"/>
  <c r="S25" i="3" s="1"/>
  <c r="G25" i="3"/>
  <c r="I25" i="3" s="1"/>
  <c r="W25" i="3"/>
  <c r="M24" i="3"/>
  <c r="AA24" i="3"/>
  <c r="R24" i="3"/>
  <c r="G24" i="3"/>
  <c r="I24" i="3" s="1"/>
  <c r="W24" i="3"/>
  <c r="Q24" i="3"/>
  <c r="S24" i="3" s="1"/>
  <c r="AA23" i="3"/>
  <c r="M23" i="3"/>
  <c r="F23" i="5"/>
  <c r="R23" i="3"/>
  <c r="E23" i="5"/>
  <c r="H23" i="5" s="1"/>
  <c r="Q23" i="3"/>
  <c r="S23" i="3" s="1"/>
  <c r="W23" i="3"/>
  <c r="G23" i="3"/>
  <c r="I23" i="3" s="1"/>
  <c r="K22" i="5"/>
  <c r="AB22" i="3"/>
  <c r="F22" i="5"/>
  <c r="E22" i="5"/>
  <c r="H22" i="5" s="1"/>
  <c r="G22" i="3"/>
  <c r="I22" i="3" s="1"/>
  <c r="Q22" i="3"/>
  <c r="S22" i="3" s="1"/>
  <c r="AA21" i="3"/>
  <c r="M21" i="3"/>
  <c r="R21" i="3"/>
  <c r="F21" i="5"/>
  <c r="W21" i="3"/>
  <c r="Q21" i="3"/>
  <c r="S21" i="3" s="1"/>
  <c r="G21" i="3"/>
  <c r="I21" i="3" s="1"/>
  <c r="E21" i="5"/>
  <c r="H21" i="5" s="1"/>
  <c r="M20" i="3"/>
  <c r="AA20" i="3"/>
  <c r="R20" i="3"/>
  <c r="F20" i="5"/>
  <c r="G20" i="3"/>
  <c r="I20" i="3" s="1"/>
  <c r="Q20" i="3"/>
  <c r="S20" i="3" s="1"/>
  <c r="W20" i="3"/>
  <c r="E20" i="5"/>
  <c r="AA19" i="3"/>
  <c r="M19" i="3"/>
  <c r="R19" i="3"/>
  <c r="F19" i="5"/>
  <c r="W19" i="3"/>
  <c r="E19" i="5"/>
  <c r="H19" i="5" s="1"/>
  <c r="Q19" i="3"/>
  <c r="S19" i="3" s="1"/>
  <c r="G19" i="3"/>
  <c r="I19" i="3" s="1"/>
  <c r="AA18" i="3"/>
  <c r="M18" i="3"/>
  <c r="F18" i="5"/>
  <c r="R18" i="3"/>
  <c r="Q18" i="3"/>
  <c r="S18" i="3" s="1"/>
  <c r="E18" i="5"/>
  <c r="H18" i="5" s="1"/>
  <c r="W18" i="3"/>
  <c r="G18" i="3"/>
  <c r="I18" i="3" s="1"/>
  <c r="AA17" i="3"/>
  <c r="M17" i="3"/>
  <c r="F17" i="5"/>
  <c r="R17" i="3"/>
  <c r="E17" i="5"/>
  <c r="H17" i="5" s="1"/>
  <c r="W17" i="3"/>
  <c r="Q17" i="3"/>
  <c r="S17" i="3" s="1"/>
  <c r="G17" i="3"/>
  <c r="I17" i="3" s="1"/>
  <c r="AA16" i="3"/>
  <c r="M16" i="3"/>
  <c r="R16" i="3"/>
  <c r="F16" i="5"/>
  <c r="W16" i="3"/>
  <c r="Q16" i="3"/>
  <c r="S16" i="3" s="1"/>
  <c r="G16" i="3"/>
  <c r="I16" i="3" s="1"/>
  <c r="E16" i="5"/>
  <c r="H16" i="5" s="1"/>
  <c r="M15" i="3"/>
  <c r="AA15" i="3"/>
  <c r="R15" i="3"/>
  <c r="F15" i="5"/>
  <c r="W15" i="3"/>
  <c r="Q15" i="3"/>
  <c r="G15" i="3"/>
  <c r="I15" i="3" s="1"/>
  <c r="E15" i="5"/>
  <c r="H15" i="5" s="1"/>
  <c r="M14" i="3"/>
  <c r="AA14" i="3"/>
  <c r="R14" i="3"/>
  <c r="F14" i="5"/>
  <c r="G14" i="3"/>
  <c r="I14" i="3" s="1"/>
  <c r="W14" i="3"/>
  <c r="Q14" i="3"/>
  <c r="S14" i="3" s="1"/>
  <c r="E14" i="5"/>
  <c r="H14" i="5" s="1"/>
  <c r="AA13" i="3"/>
  <c r="M13" i="3"/>
  <c r="F13" i="5"/>
  <c r="R13" i="3"/>
  <c r="E13" i="5"/>
  <c r="H13" i="5" s="1"/>
  <c r="G13" i="3"/>
  <c r="I13" i="3" s="1"/>
  <c r="W13" i="3"/>
  <c r="Q13" i="3"/>
  <c r="AA12" i="3"/>
  <c r="M12" i="3"/>
  <c r="F12" i="5"/>
  <c r="R12" i="3"/>
  <c r="E12" i="5"/>
  <c r="H12" i="5" s="1"/>
  <c r="Q12" i="3"/>
  <c r="S12" i="3" s="1"/>
  <c r="W12" i="3"/>
  <c r="G12" i="3"/>
  <c r="I12" i="3" s="1"/>
  <c r="AA11" i="3"/>
  <c r="M11" i="3"/>
  <c r="F11" i="5"/>
  <c r="R11" i="3"/>
  <c r="Q11" i="3"/>
  <c r="S11" i="3" s="1"/>
  <c r="E11" i="5"/>
  <c r="H11" i="5" s="1"/>
  <c r="W11" i="3"/>
  <c r="G11" i="3"/>
  <c r="I11" i="3" s="1"/>
  <c r="AA10" i="3"/>
  <c r="M10" i="3"/>
  <c r="F10" i="5"/>
  <c r="R10" i="3"/>
  <c r="E10" i="5"/>
  <c r="H10" i="5" s="1"/>
  <c r="G10" i="3"/>
  <c r="I10" i="3" s="1"/>
  <c r="Q10" i="3"/>
  <c r="S10" i="3" s="1"/>
  <c r="W10" i="3"/>
  <c r="M9" i="3"/>
  <c r="L28" i="3"/>
  <c r="AA9" i="3"/>
  <c r="R9" i="3"/>
  <c r="F9" i="5"/>
  <c r="W9" i="3"/>
  <c r="Q9" i="3"/>
  <c r="S9" i="3" s="1"/>
  <c r="E9" i="5"/>
  <c r="H9" i="5" s="1"/>
  <c r="G9" i="3"/>
  <c r="I9" i="3" s="1"/>
  <c r="K8" i="5"/>
  <c r="AB8" i="3"/>
  <c r="F8" i="5"/>
  <c r="R8" i="3"/>
  <c r="E8" i="5"/>
  <c r="Q8" i="3"/>
  <c r="S8" i="3" s="1"/>
  <c r="G8" i="3"/>
  <c r="I8" i="3" s="1"/>
  <c r="M7" i="3"/>
  <c r="E28" i="3"/>
  <c r="B34" i="1" s="1"/>
  <c r="R7" i="3"/>
  <c r="D28" i="3"/>
  <c r="B33" i="1" s="1"/>
  <c r="W7" i="3"/>
  <c r="Q7" i="3"/>
  <c r="G7" i="3"/>
  <c r="Q26" i="4" l="1"/>
  <c r="R26" i="4"/>
  <c r="S26" i="4"/>
  <c r="I26" i="7" s="1"/>
  <c r="Q25" i="4"/>
  <c r="R25" i="4"/>
  <c r="S25" i="4"/>
  <c r="I25" i="7" s="1"/>
  <c r="Q24" i="4"/>
  <c r="R24" i="4"/>
  <c r="S24" i="4"/>
  <c r="I24" i="7" s="1"/>
  <c r="Q23" i="4"/>
  <c r="R23" i="4"/>
  <c r="S23" i="4"/>
  <c r="I23" i="7" s="1"/>
  <c r="I22" i="4"/>
  <c r="L22" i="4"/>
  <c r="J22" i="7"/>
  <c r="AA22" i="3"/>
  <c r="Q20" i="4"/>
  <c r="R20" i="4"/>
  <c r="S20" i="4"/>
  <c r="I20" i="7" s="1"/>
  <c r="Q19" i="4"/>
  <c r="R19" i="4"/>
  <c r="S19" i="4"/>
  <c r="I19" i="7" s="1"/>
  <c r="Q18" i="4"/>
  <c r="S18" i="4" s="1"/>
  <c r="I18" i="7" s="1"/>
  <c r="R18" i="4"/>
  <c r="I17" i="4"/>
  <c r="L17" i="4"/>
  <c r="J17" i="7"/>
  <c r="Q16" i="4"/>
  <c r="R16" i="4"/>
  <c r="S16" i="4"/>
  <c r="I16" i="7" s="1"/>
  <c r="Q15" i="4"/>
  <c r="R15" i="4"/>
  <c r="S15" i="4"/>
  <c r="I15" i="7" s="1"/>
  <c r="Q14" i="4"/>
  <c r="R14" i="4"/>
  <c r="S14" i="4"/>
  <c r="I14" i="7" s="1"/>
  <c r="Q13" i="4"/>
  <c r="R13" i="4"/>
  <c r="S13" i="4"/>
  <c r="I13" i="7" s="1"/>
  <c r="J12" i="7"/>
  <c r="I12" i="4"/>
  <c r="L12" i="4"/>
  <c r="Q11" i="4"/>
  <c r="R11" i="4"/>
  <c r="S11" i="4"/>
  <c r="I11" i="7" s="1"/>
  <c r="Q10" i="4"/>
  <c r="S10" i="4" s="1"/>
  <c r="I10" i="7" s="1"/>
  <c r="R10" i="4"/>
  <c r="Q9" i="4"/>
  <c r="R9" i="4"/>
  <c r="S9" i="4" s="1"/>
  <c r="I9" i="7" s="1"/>
  <c r="G7" i="4"/>
  <c r="F28" i="4"/>
  <c r="B16" i="1" s="1"/>
  <c r="E24" i="1"/>
  <c r="K26" i="3"/>
  <c r="N26" i="3" s="1"/>
  <c r="E26" i="7"/>
  <c r="AB26" i="3"/>
  <c r="K26" i="5"/>
  <c r="N25" i="3"/>
  <c r="O25" i="3"/>
  <c r="G25" i="7" s="1"/>
  <c r="K25" i="3"/>
  <c r="E25" i="7"/>
  <c r="AB25" i="3"/>
  <c r="K25" i="5"/>
  <c r="K24" i="3"/>
  <c r="N24" i="3" s="1"/>
  <c r="E24" i="7"/>
  <c r="AB24" i="3"/>
  <c r="K24" i="5"/>
  <c r="N23" i="3"/>
  <c r="O23" i="3"/>
  <c r="G23" i="7" s="1"/>
  <c r="AB23" i="3"/>
  <c r="K23" i="5"/>
  <c r="K23" i="3"/>
  <c r="E23" i="7"/>
  <c r="N22" i="5"/>
  <c r="K22" i="3"/>
  <c r="E22" i="7"/>
  <c r="N21" i="3"/>
  <c r="O21" i="3" s="1"/>
  <c r="G21" i="7" s="1"/>
  <c r="AB21" i="3"/>
  <c r="K21" i="5"/>
  <c r="K21" i="3"/>
  <c r="E21" i="7"/>
  <c r="K20" i="3"/>
  <c r="N20" i="3" s="1"/>
  <c r="E20" i="7"/>
  <c r="AB20" i="3"/>
  <c r="K20" i="5"/>
  <c r="N19" i="3"/>
  <c r="AB19" i="3"/>
  <c r="K19" i="5"/>
  <c r="K19" i="3"/>
  <c r="E19" i="7"/>
  <c r="N18" i="3"/>
  <c r="AB18" i="3"/>
  <c r="K18" i="5"/>
  <c r="K18" i="3"/>
  <c r="E18" i="7"/>
  <c r="N17" i="3"/>
  <c r="O17" i="3" s="1"/>
  <c r="G17" i="7" s="1"/>
  <c r="AB17" i="3"/>
  <c r="K17" i="5"/>
  <c r="K17" i="3"/>
  <c r="E17" i="7"/>
  <c r="AB16" i="3"/>
  <c r="K16" i="5"/>
  <c r="K16" i="3"/>
  <c r="N16" i="3" s="1"/>
  <c r="E16" i="7"/>
  <c r="AB15" i="3"/>
  <c r="K15" i="5"/>
  <c r="K15" i="3"/>
  <c r="N15" i="3" s="1"/>
  <c r="E15" i="7"/>
  <c r="N14" i="3"/>
  <c r="K14" i="3"/>
  <c r="E14" i="7"/>
  <c r="AB14" i="3"/>
  <c r="K14" i="5"/>
  <c r="N13" i="3"/>
  <c r="O13" i="3" s="1"/>
  <c r="G13" i="7" s="1"/>
  <c r="K13" i="3"/>
  <c r="E13" i="7"/>
  <c r="AB13" i="3"/>
  <c r="K13" i="5"/>
  <c r="N12" i="3"/>
  <c r="O12" i="3" s="1"/>
  <c r="G12" i="7" s="1"/>
  <c r="AB12" i="3"/>
  <c r="K12" i="5"/>
  <c r="K12" i="3"/>
  <c r="E12" i="7"/>
  <c r="AB11" i="3"/>
  <c r="K11" i="5"/>
  <c r="K11" i="3"/>
  <c r="N11" i="3" s="1"/>
  <c r="E11" i="7"/>
  <c r="N10" i="3"/>
  <c r="K10" i="3"/>
  <c r="E10" i="7"/>
  <c r="K10" i="5"/>
  <c r="AB10" i="3"/>
  <c r="K9" i="5"/>
  <c r="AB9" i="3"/>
  <c r="K9" i="3"/>
  <c r="N9" i="3" s="1"/>
  <c r="E9" i="7"/>
  <c r="H8" i="5"/>
  <c r="N8" i="5" s="1"/>
  <c r="E28" i="5"/>
  <c r="K8" i="3"/>
  <c r="E8" i="7"/>
  <c r="M28" i="3"/>
  <c r="AB7" i="3"/>
  <c r="W28" i="3"/>
  <c r="K7" i="5"/>
  <c r="S7" i="3"/>
  <c r="Q28" i="3"/>
  <c r="I7" i="3"/>
  <c r="G28" i="3"/>
  <c r="B32" i="1" s="1"/>
  <c r="P21" i="4"/>
  <c r="P8" i="4"/>
  <c r="H20" i="5"/>
  <c r="S15" i="3"/>
  <c r="S13" i="3"/>
  <c r="F28" i="5"/>
  <c r="R28" i="3"/>
  <c r="K22" i="4" l="1"/>
  <c r="F27" i="1"/>
  <c r="K17" i="4"/>
  <c r="F26" i="1"/>
  <c r="F25" i="1"/>
  <c r="K12" i="4"/>
  <c r="AA7" i="3"/>
  <c r="AA28" i="3" s="1"/>
  <c r="I7" i="4"/>
  <c r="L7" i="4"/>
  <c r="G28" i="4"/>
  <c r="J7" i="7"/>
  <c r="N26" i="5"/>
  <c r="N25" i="5"/>
  <c r="N24" i="5"/>
  <c r="N23" i="5"/>
  <c r="N22" i="3"/>
  <c r="P22" i="3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H28" i="5"/>
  <c r="N8" i="3"/>
  <c r="P8" i="3" s="1"/>
  <c r="AB28" i="3"/>
  <c r="B9" i="1" s="1"/>
  <c r="N7" i="5"/>
  <c r="N28" i="5" s="1"/>
  <c r="K28" i="5"/>
  <c r="S28" i="3"/>
  <c r="B12" i="1" s="1"/>
  <c r="K7" i="3"/>
  <c r="I28" i="3"/>
  <c r="C32" i="1" s="1"/>
  <c r="E7" i="7"/>
  <c r="Q21" i="4"/>
  <c r="Q8" i="4"/>
  <c r="P20" i="3"/>
  <c r="P17" i="3"/>
  <c r="P10" i="3"/>
  <c r="P15" i="3"/>
  <c r="P13" i="3"/>
  <c r="P16" i="3"/>
  <c r="P25" i="3"/>
  <c r="P23" i="3"/>
  <c r="P21" i="3"/>
  <c r="P19" i="3"/>
  <c r="P18" i="3"/>
  <c r="P14" i="3"/>
  <c r="P11" i="3"/>
  <c r="P12" i="3"/>
  <c r="P26" i="3"/>
  <c r="O26" i="3"/>
  <c r="G26" i="7" s="1"/>
  <c r="P24" i="3"/>
  <c r="O24" i="3"/>
  <c r="G24" i="7" s="1"/>
  <c r="G20" i="7"/>
  <c r="O20" i="3"/>
  <c r="O19" i="3"/>
  <c r="G19" i="7"/>
  <c r="O18" i="3"/>
  <c r="G18" i="7"/>
  <c r="O16" i="3"/>
  <c r="G16" i="7"/>
  <c r="O15" i="3"/>
  <c r="G15" i="7"/>
  <c r="O14" i="3"/>
  <c r="G14" i="7"/>
  <c r="O11" i="3"/>
  <c r="G11" i="7"/>
  <c r="O10" i="3"/>
  <c r="G10" i="7"/>
  <c r="P9" i="3"/>
  <c r="O9" i="3"/>
  <c r="G9" i="7"/>
  <c r="M22" i="4" l="1"/>
  <c r="P22" i="4" s="1"/>
  <c r="G27" i="1"/>
  <c r="M17" i="4"/>
  <c r="P17" i="4" s="1"/>
  <c r="G26" i="1"/>
  <c r="M12" i="4"/>
  <c r="P12" i="4" s="1"/>
  <c r="G25" i="1"/>
  <c r="K7" i="4"/>
  <c r="I28" i="4"/>
  <c r="B17" i="1" s="1"/>
  <c r="F24" i="1"/>
  <c r="L28" i="4"/>
  <c r="G22" i="7"/>
  <c r="O22" i="3"/>
  <c r="G22" i="5"/>
  <c r="I22" i="5" s="1"/>
  <c r="J22" i="5" s="1"/>
  <c r="X22" i="3"/>
  <c r="F22" i="7"/>
  <c r="T22" i="3"/>
  <c r="U22" i="3" s="1"/>
  <c r="F8" i="7"/>
  <c r="G8" i="5"/>
  <c r="I8" i="5" s="1"/>
  <c r="J8" i="5" s="1"/>
  <c r="X8" i="3"/>
  <c r="T8" i="3"/>
  <c r="U8" i="3" s="1"/>
  <c r="O8" i="3"/>
  <c r="G8" i="7" s="1"/>
  <c r="N7" i="3"/>
  <c r="P7" i="3"/>
  <c r="K28" i="3"/>
  <c r="C35" i="1" s="1"/>
  <c r="T20" i="3"/>
  <c r="U20" i="3" s="1"/>
  <c r="X20" i="3"/>
  <c r="F20" i="7"/>
  <c r="G20" i="5"/>
  <c r="I20" i="5" s="1"/>
  <c r="J20" i="5" s="1"/>
  <c r="T17" i="3"/>
  <c r="U17" i="3" s="1"/>
  <c r="X17" i="3"/>
  <c r="F17" i="7"/>
  <c r="G17" i="5"/>
  <c r="I17" i="5" s="1"/>
  <c r="J17" i="5" s="1"/>
  <c r="T10" i="3"/>
  <c r="U10" i="3" s="1"/>
  <c r="X10" i="3"/>
  <c r="F10" i="7"/>
  <c r="G10" i="5"/>
  <c r="I10" i="5" s="1"/>
  <c r="J10" i="5" s="1"/>
  <c r="T15" i="3"/>
  <c r="U15" i="3" s="1"/>
  <c r="X15" i="3"/>
  <c r="F15" i="7"/>
  <c r="G15" i="5"/>
  <c r="I15" i="5" s="1"/>
  <c r="J15" i="5" s="1"/>
  <c r="T13" i="3"/>
  <c r="U13" i="3" s="1"/>
  <c r="X13" i="3"/>
  <c r="G13" i="5"/>
  <c r="I13" i="5" s="1"/>
  <c r="J13" i="5" s="1"/>
  <c r="F13" i="7"/>
  <c r="T16" i="3"/>
  <c r="U16" i="3" s="1"/>
  <c r="X16" i="3"/>
  <c r="F16" i="7"/>
  <c r="G16" i="5"/>
  <c r="I16" i="5" s="1"/>
  <c r="J16" i="5" s="1"/>
  <c r="G25" i="5"/>
  <c r="I25" i="5" s="1"/>
  <c r="J25" i="5" s="1"/>
  <c r="F25" i="7"/>
  <c r="T25" i="3"/>
  <c r="U25" i="3" s="1"/>
  <c r="X25" i="3"/>
  <c r="F23" i="7"/>
  <c r="T23" i="3"/>
  <c r="U23" i="3" s="1"/>
  <c r="X23" i="3"/>
  <c r="G23" i="5"/>
  <c r="I23" i="5" s="1"/>
  <c r="J23" i="5" s="1"/>
  <c r="T21" i="3"/>
  <c r="U21" i="3" s="1"/>
  <c r="X21" i="3"/>
  <c r="G21" i="5"/>
  <c r="I21" i="5" s="1"/>
  <c r="J21" i="5" s="1"/>
  <c r="F21" i="7"/>
  <c r="T19" i="3"/>
  <c r="U19" i="3" s="1"/>
  <c r="X19" i="3"/>
  <c r="F19" i="7"/>
  <c r="G19" i="5"/>
  <c r="I19" i="5" s="1"/>
  <c r="J19" i="5" s="1"/>
  <c r="T18" i="3"/>
  <c r="U18" i="3" s="1"/>
  <c r="X18" i="3"/>
  <c r="F18" i="7"/>
  <c r="G18" i="5"/>
  <c r="I18" i="5" s="1"/>
  <c r="J18" i="5" s="1"/>
  <c r="T14" i="3"/>
  <c r="U14" i="3" s="1"/>
  <c r="X14" i="3"/>
  <c r="G14" i="5"/>
  <c r="I14" i="5" s="1"/>
  <c r="J14" i="5" s="1"/>
  <c r="F14" i="7"/>
  <c r="T11" i="3"/>
  <c r="U11" i="3" s="1"/>
  <c r="G11" i="5"/>
  <c r="I11" i="5" s="1"/>
  <c r="J11" i="5" s="1"/>
  <c r="F11" i="7"/>
  <c r="X11" i="3"/>
  <c r="T12" i="3"/>
  <c r="U12" i="3" s="1"/>
  <c r="X12" i="3"/>
  <c r="F12" i="7"/>
  <c r="G12" i="5"/>
  <c r="I12" i="5" s="1"/>
  <c r="J12" i="5" s="1"/>
  <c r="T26" i="3"/>
  <c r="U26" i="3" s="1"/>
  <c r="X26" i="3"/>
  <c r="G26" i="5"/>
  <c r="I26" i="5" s="1"/>
  <c r="J26" i="5" s="1"/>
  <c r="F26" i="7"/>
  <c r="T24" i="3"/>
  <c r="U24" i="3" s="1"/>
  <c r="X24" i="3"/>
  <c r="G24" i="5"/>
  <c r="I24" i="5" s="1"/>
  <c r="J24" i="5" s="1"/>
  <c r="F24" i="7"/>
  <c r="T9" i="3"/>
  <c r="U9" i="3" s="1"/>
  <c r="X9" i="3"/>
  <c r="G9" i="5"/>
  <c r="I9" i="5" s="1"/>
  <c r="J9" i="5" s="1"/>
  <c r="F9" i="7"/>
  <c r="R21" i="4"/>
  <c r="S21" i="4" s="1"/>
  <c r="I21" i="7" s="1"/>
  <c r="S8" i="4"/>
  <c r="I8" i="7" s="1"/>
  <c r="R8" i="4"/>
  <c r="Q22" i="4" l="1"/>
  <c r="Q17" i="4"/>
  <c r="Q12" i="4"/>
  <c r="K28" i="4"/>
  <c r="B18" i="1" s="1"/>
  <c r="G24" i="1"/>
  <c r="M7" i="4"/>
  <c r="Y22" i="3"/>
  <c r="AC22" i="3"/>
  <c r="AD22" i="3" s="1"/>
  <c r="L22" i="5"/>
  <c r="D27" i="1"/>
  <c r="V22" i="3"/>
  <c r="Y8" i="3"/>
  <c r="L8" i="5"/>
  <c r="AC8" i="3"/>
  <c r="AD8" i="3" s="1"/>
  <c r="T8" i="4" s="1"/>
  <c r="U8" i="4" s="1"/>
  <c r="V8" i="3"/>
  <c r="V8" i="4"/>
  <c r="O7" i="3"/>
  <c r="N28" i="3"/>
  <c r="C36" i="1" s="1"/>
  <c r="F7" i="7"/>
  <c r="G7" i="5"/>
  <c r="P28" i="3"/>
  <c r="C34" i="1" s="1"/>
  <c r="X7" i="3"/>
  <c r="T7" i="3"/>
  <c r="V20" i="3"/>
  <c r="V20" i="4"/>
  <c r="Y20" i="3"/>
  <c r="AC20" i="3"/>
  <c r="AD20" i="3" s="1"/>
  <c r="T20" i="4" s="1"/>
  <c r="U20" i="4" s="1"/>
  <c r="L20" i="5"/>
  <c r="D26" i="1"/>
  <c r="V17" i="3"/>
  <c r="Y17" i="3"/>
  <c r="AC17" i="3"/>
  <c r="AD17" i="3" s="1"/>
  <c r="L17" i="5"/>
  <c r="V10" i="3"/>
  <c r="V10" i="4"/>
  <c r="Y10" i="3"/>
  <c r="L10" i="5"/>
  <c r="AC10" i="3"/>
  <c r="AD10" i="3" s="1"/>
  <c r="T10" i="4" s="1"/>
  <c r="U10" i="4" s="1"/>
  <c r="V15" i="3"/>
  <c r="V15" i="4"/>
  <c r="Y15" i="3"/>
  <c r="AC15" i="3"/>
  <c r="AD15" i="3" s="1"/>
  <c r="T15" i="4" s="1"/>
  <c r="U15" i="4" s="1"/>
  <c r="L15" i="5"/>
  <c r="V13" i="3"/>
  <c r="V13" i="4"/>
  <c r="Y13" i="3"/>
  <c r="AC13" i="3"/>
  <c r="AD13" i="3" s="1"/>
  <c r="T13" i="4" s="1"/>
  <c r="U13" i="4" s="1"/>
  <c r="L13" i="5"/>
  <c r="V16" i="3"/>
  <c r="V16" i="4"/>
  <c r="Y16" i="3"/>
  <c r="AC16" i="3"/>
  <c r="AD16" i="3" s="1"/>
  <c r="T16" i="4" s="1"/>
  <c r="U16" i="4" s="1"/>
  <c r="L16" i="5"/>
  <c r="V25" i="3"/>
  <c r="V25" i="4"/>
  <c r="Y25" i="3"/>
  <c r="AC25" i="3"/>
  <c r="AD25" i="3" s="1"/>
  <c r="T25" i="4" s="1"/>
  <c r="U25" i="4" s="1"/>
  <c r="L25" i="5"/>
  <c r="V23" i="3"/>
  <c r="V23" i="4"/>
  <c r="Y23" i="3"/>
  <c r="AC23" i="3"/>
  <c r="AD23" i="3" s="1"/>
  <c r="T23" i="4" s="1"/>
  <c r="U23" i="4" s="1"/>
  <c r="L23" i="5"/>
  <c r="V21" i="3"/>
  <c r="V21" i="4"/>
  <c r="Y21" i="3"/>
  <c r="AC21" i="3"/>
  <c r="AD21" i="3" s="1"/>
  <c r="T21" i="4" s="1"/>
  <c r="U21" i="4" s="1"/>
  <c r="L21" i="5"/>
  <c r="V19" i="3"/>
  <c r="V19" i="4"/>
  <c r="Y19" i="3"/>
  <c r="AC19" i="3"/>
  <c r="AD19" i="3" s="1"/>
  <c r="T19" i="4" s="1"/>
  <c r="U19" i="4" s="1"/>
  <c r="L19" i="5"/>
  <c r="V18" i="3"/>
  <c r="V18" i="4"/>
  <c r="Y18" i="3"/>
  <c r="AC18" i="3"/>
  <c r="AD18" i="3" s="1"/>
  <c r="T18" i="4" s="1"/>
  <c r="U18" i="4" s="1"/>
  <c r="L18" i="5"/>
  <c r="V14" i="3"/>
  <c r="V14" i="4"/>
  <c r="Y14" i="3"/>
  <c r="AC14" i="3"/>
  <c r="AD14" i="3" s="1"/>
  <c r="T14" i="4" s="1"/>
  <c r="U14" i="4" s="1"/>
  <c r="L14" i="5"/>
  <c r="V11" i="3"/>
  <c r="V11" i="4"/>
  <c r="Y11" i="3"/>
  <c r="AC11" i="3"/>
  <c r="AD11" i="3" s="1"/>
  <c r="T11" i="4" s="1"/>
  <c r="U11" i="4" s="1"/>
  <c r="L11" i="5"/>
  <c r="D25" i="1"/>
  <c r="V12" i="3"/>
  <c r="Y12" i="3"/>
  <c r="AC12" i="3"/>
  <c r="AD12" i="3" s="1"/>
  <c r="L12" i="5"/>
  <c r="V26" i="3"/>
  <c r="V26" i="4"/>
  <c r="Y26" i="3"/>
  <c r="AC26" i="3"/>
  <c r="AD26" i="3" s="1"/>
  <c r="T26" i="4" s="1"/>
  <c r="U26" i="4" s="1"/>
  <c r="L26" i="5"/>
  <c r="V24" i="3"/>
  <c r="V24" i="4"/>
  <c r="Y24" i="3"/>
  <c r="AC24" i="3"/>
  <c r="AD24" i="3" s="1"/>
  <c r="T24" i="4" s="1"/>
  <c r="U24" i="4" s="1"/>
  <c r="L24" i="5"/>
  <c r="V9" i="3"/>
  <c r="V9" i="4"/>
  <c r="Y9" i="3"/>
  <c r="L9" i="5"/>
  <c r="AC9" i="3"/>
  <c r="AD9" i="3" s="1"/>
  <c r="T9" i="4" s="1"/>
  <c r="U9" i="4" s="1"/>
  <c r="P7" i="4" l="1"/>
  <c r="M28" i="4"/>
  <c r="T22" i="4"/>
  <c r="C27" i="1"/>
  <c r="M22" i="5"/>
  <c r="P22" i="5" s="1"/>
  <c r="Q22" i="5" s="1"/>
  <c r="H22" i="7" s="1"/>
  <c r="O22" i="5"/>
  <c r="M8" i="5"/>
  <c r="P8" i="5" s="1"/>
  <c r="Q8" i="5" s="1"/>
  <c r="H8" i="7" s="1"/>
  <c r="K8" i="7" s="1"/>
  <c r="O8" i="5"/>
  <c r="I7" i="5"/>
  <c r="G28" i="5"/>
  <c r="Y7" i="3"/>
  <c r="Y28" i="3" s="1"/>
  <c r="AC7" i="3"/>
  <c r="X28" i="3"/>
  <c r="L7" i="5"/>
  <c r="U7" i="3"/>
  <c r="T28" i="3"/>
  <c r="B13" i="1" s="1"/>
  <c r="M20" i="5"/>
  <c r="P20" i="5" s="1"/>
  <c r="O20" i="5"/>
  <c r="C26" i="1"/>
  <c r="T17" i="4"/>
  <c r="M17" i="5"/>
  <c r="P17" i="5" s="1"/>
  <c r="O17" i="5"/>
  <c r="M10" i="5"/>
  <c r="P10" i="5" s="1"/>
  <c r="O10" i="5"/>
  <c r="M15" i="5"/>
  <c r="P15" i="5" s="1"/>
  <c r="O15" i="5"/>
  <c r="M13" i="5"/>
  <c r="P13" i="5" s="1"/>
  <c r="O13" i="5"/>
  <c r="M16" i="5"/>
  <c r="P16" i="5" s="1"/>
  <c r="O16" i="5"/>
  <c r="M25" i="5"/>
  <c r="P25" i="5" s="1"/>
  <c r="O25" i="5"/>
  <c r="M23" i="5"/>
  <c r="P23" i="5" s="1"/>
  <c r="O23" i="5"/>
  <c r="M21" i="5"/>
  <c r="P21" i="5" s="1"/>
  <c r="O21" i="5"/>
  <c r="M19" i="5"/>
  <c r="P19" i="5" s="1"/>
  <c r="O19" i="5"/>
  <c r="M18" i="5"/>
  <c r="P18" i="5" s="1"/>
  <c r="O18" i="5"/>
  <c r="M14" i="5"/>
  <c r="P14" i="5" s="1"/>
  <c r="O14" i="5"/>
  <c r="M11" i="5"/>
  <c r="P11" i="5" s="1"/>
  <c r="O11" i="5"/>
  <c r="C25" i="1"/>
  <c r="T12" i="4"/>
  <c r="M12" i="5"/>
  <c r="P12" i="5" s="1"/>
  <c r="O12" i="5"/>
  <c r="M26" i="5"/>
  <c r="P26" i="5" s="1"/>
  <c r="Q26" i="5" s="1"/>
  <c r="H26" i="7" s="1"/>
  <c r="K26" i="7" s="1"/>
  <c r="O26" i="5"/>
  <c r="M24" i="5"/>
  <c r="P24" i="5" s="1"/>
  <c r="O24" i="5"/>
  <c r="M9" i="5"/>
  <c r="P9" i="5" s="1"/>
  <c r="O9" i="5"/>
  <c r="R22" i="4"/>
  <c r="S22" i="4" s="1"/>
  <c r="S17" i="4"/>
  <c r="R17" i="4"/>
  <c r="R12" i="4"/>
  <c r="S12" i="4" s="1"/>
  <c r="O28" i="3"/>
  <c r="G7" i="7"/>
  <c r="P28" i="4" l="1"/>
  <c r="Q7" i="4"/>
  <c r="J7" i="5"/>
  <c r="J28" i="5" s="1"/>
  <c r="I28" i="5"/>
  <c r="AD7" i="3"/>
  <c r="AC28" i="3"/>
  <c r="B10" i="1" s="1"/>
  <c r="M7" i="5"/>
  <c r="O7" i="5"/>
  <c r="O28" i="5" s="1"/>
  <c r="L28" i="5"/>
  <c r="U28" i="3"/>
  <c r="D24" i="1"/>
  <c r="V7" i="3"/>
  <c r="I22" i="7"/>
  <c r="K22" i="7" s="1"/>
  <c r="B27" i="1"/>
  <c r="V22" i="4"/>
  <c r="I17" i="7"/>
  <c r="B26" i="1"/>
  <c r="V17" i="4"/>
  <c r="I12" i="7"/>
  <c r="B25" i="1"/>
  <c r="V12" i="4"/>
  <c r="U22" i="4"/>
  <c r="Q20" i="5"/>
  <c r="H20" i="7" s="1"/>
  <c r="K20" i="7" s="1"/>
  <c r="U17" i="4"/>
  <c r="Q17" i="5"/>
  <c r="H17" i="7" s="1"/>
  <c r="K17" i="7" s="1"/>
  <c r="Q10" i="5"/>
  <c r="H10" i="7" s="1"/>
  <c r="K10" i="7" s="1"/>
  <c r="Q15" i="5"/>
  <c r="H15" i="7" s="1"/>
  <c r="K15" i="7" s="1"/>
  <c r="Q13" i="5"/>
  <c r="H13" i="7" s="1"/>
  <c r="K13" i="7" s="1"/>
  <c r="Q16" i="5"/>
  <c r="H16" i="7" s="1"/>
  <c r="K16" i="7" s="1"/>
  <c r="Q25" i="5"/>
  <c r="H25" i="7" s="1"/>
  <c r="K25" i="7" s="1"/>
  <c r="Q23" i="5"/>
  <c r="H23" i="7" s="1"/>
  <c r="K23" i="7" s="1"/>
  <c r="Q21" i="5"/>
  <c r="H21" i="7" s="1"/>
  <c r="K21" i="7" s="1"/>
  <c r="Q19" i="5"/>
  <c r="H19" i="7" s="1"/>
  <c r="K19" i="7" s="1"/>
  <c r="Q18" i="5"/>
  <c r="H18" i="7" s="1"/>
  <c r="K18" i="7" s="1"/>
  <c r="Q14" i="5"/>
  <c r="H14" i="7" s="1"/>
  <c r="K14" i="7" s="1"/>
  <c r="Q11" i="5"/>
  <c r="H11" i="7" s="1"/>
  <c r="K11" i="7" s="1"/>
  <c r="Q12" i="5"/>
  <c r="H12" i="7" s="1"/>
  <c r="U12" i="4"/>
  <c r="Q24" i="5"/>
  <c r="H24" i="7" s="1"/>
  <c r="K24" i="7" s="1"/>
  <c r="Q9" i="5"/>
  <c r="H9" i="7" s="1"/>
  <c r="K9" i="7" s="1"/>
  <c r="T7" i="4" l="1"/>
  <c r="C24" i="1"/>
  <c r="AD28" i="3"/>
  <c r="M28" i="5"/>
  <c r="P7" i="5"/>
  <c r="V28" i="3"/>
  <c r="B15" i="1" s="1"/>
  <c r="B34" i="7"/>
  <c r="B14" i="1"/>
  <c r="K12" i="7"/>
  <c r="Q28" i="4"/>
  <c r="R7" i="4"/>
  <c r="T28" i="4" l="1"/>
  <c r="B11" i="1"/>
  <c r="B32" i="7"/>
  <c r="Q7" i="5"/>
  <c r="P28" i="5"/>
  <c r="S7" i="4"/>
  <c r="U7" i="4" s="1"/>
  <c r="R28" i="4"/>
  <c r="Q28" i="5" l="1"/>
  <c r="H7" i="7"/>
  <c r="I7" i="7"/>
  <c r="B24" i="1"/>
  <c r="S28" i="4"/>
  <c r="V7" i="4"/>
  <c r="U28" i="4" l="1"/>
  <c r="B19" i="1" s="1"/>
  <c r="V28" i="4"/>
  <c r="B33" i="7"/>
  <c r="B8" i="1"/>
  <c r="K7" i="7"/>
  <c r="B31" i="7" s="1"/>
</calcChain>
</file>

<file path=xl/sharedStrings.xml><?xml version="1.0" encoding="utf-8"?>
<sst xmlns="http://schemas.openxmlformats.org/spreadsheetml/2006/main" count="597" uniqueCount="397">
  <si>
    <t>University building decarbonisation</t>
  </si>
  <si>
    <t>20 fictional buildings. Annual steady-state analysis in 2026 prices. Start with Assumptions, then Buildings.</t>
  </si>
  <si>
    <t>Portfolio metric</t>
  </si>
  <si>
    <t>Value</t>
  </si>
  <si>
    <t>Unit</t>
  </si>
  <si>
    <t>Buildings</t>
  </si>
  <si>
    <t>count</t>
  </si>
  <si>
    <t>Capital investment</t>
  </si>
  <si>
    <t>£</t>
  </si>
  <si>
    <t>Baseline OPEX</t>
  </si>
  <si>
    <t>£/yr</t>
  </si>
  <si>
    <t>Proposed OPEX</t>
  </si>
  <si>
    <t>Annual OPEX saving</t>
  </si>
  <si>
    <t>Baseline emissions</t>
  </si>
  <si>
    <t>tCO2e/yr</t>
  </si>
  <si>
    <t>Proposed emissions</t>
  </si>
  <si>
    <t>Emissions saved</t>
  </si>
  <si>
    <t>Emissions reduction</t>
  </si>
  <si>
    <t>%</t>
  </si>
  <si>
    <t>Heat-pump units</t>
  </si>
  <si>
    <t>Additional peak electricity</t>
  </si>
  <si>
    <t>kWe</t>
  </si>
  <si>
    <t>Sum of site shortfalls</t>
  </si>
  <si>
    <t>Portfolio simple payback</t>
  </si>
  <si>
    <t>years</t>
  </si>
  <si>
    <t>Cluster</t>
  </si>
  <si>
    <t>CAPEX £</t>
  </si>
  <si>
    <t>OPEX saving £/yr</t>
  </si>
  <si>
    <t>Emissions saved t/yr</t>
  </si>
  <si>
    <t>HP units</t>
  </si>
  <si>
    <t>Additional peak kWe</t>
  </si>
  <si>
    <t>Site shortfalls kWe</t>
  </si>
  <si>
    <t>North</t>
  </si>
  <si>
    <t>Central</t>
  </si>
  <si>
    <t>South</t>
  </si>
  <si>
    <t>West</t>
  </si>
  <si>
    <t>Energy totals</t>
  </si>
  <si>
    <t>Metric</t>
  </si>
  <si>
    <t>Baseline kWh/yr</t>
  </si>
  <si>
    <t>Proposed kWh/yr</t>
  </si>
  <si>
    <t>Useful heat</t>
  </si>
  <si>
    <t>Gas purchased</t>
  </si>
  <si>
    <t>Grid electricity</t>
  </si>
  <si>
    <t>Heat-pump electricity</t>
  </si>
  <si>
    <t>PV self-used</t>
  </si>
  <si>
    <t>Useful heat = gas × boiler efficiency. Heat-pump electricity = reduced useful heat ÷ seasonal COP.</t>
  </si>
  <si>
    <t>CAPEX = upfront investment. OPEX = annual energy bills plus modelled plant maintenance.</t>
  </si>
  <si>
    <t>Cluster peaks are sums without diversity. Spare capacity cannot automatically transfer between buildings.</t>
  </si>
  <si>
    <t>Payback excludes financing, future tariff changes, equipment replacements and residual values.</t>
  </si>
  <si>
    <t>Use QA to review input validity and reconciliations. Review engineering limits in Guide and sources.</t>
  </si>
  <si>
    <t>Editable programme assumptions</t>
  </si>
  <si>
    <t>Prices include CCL and exclude VAT. Planning costs and engineering assumptions are illustrative. Research date: 25 October 2026.</t>
  </si>
  <si>
    <t>Driver</t>
  </si>
  <si>
    <t>Basis</t>
  </si>
  <si>
    <t>Source ID</t>
  </si>
  <si>
    <t>Use / limitation</t>
  </si>
  <si>
    <t>Electricity benchmark</t>
  </si>
  <si>
    <t>p/kWh</t>
  </si>
  <si>
    <t>DESNZ Q2 2026 all bands</t>
  </si>
  <si>
    <t>S02</t>
  </si>
  <si>
    <t>Rounded from 24.50920275. Fully delivered average, not a marginal tariff.</t>
  </si>
  <si>
    <t>Gas benchmark</t>
  </si>
  <si>
    <t>p/kWh GCV</t>
  </si>
  <si>
    <t>Rounded from 5.27689274. Replace with university contract values.</t>
  </si>
  <si>
    <t>Gas combustion factor</t>
  </si>
  <si>
    <t>kgCO2e/kWh GCV</t>
  </si>
  <si>
    <t>DESNZ 2026 Fuels!D42</t>
  </si>
  <si>
    <t>S01</t>
  </si>
  <si>
    <t>Scope 1. Includes CO2, CH4 and N2O.</t>
  </si>
  <si>
    <t>Electricity factor</t>
  </si>
  <si>
    <t>kgCO2e/kWh</t>
  </si>
  <si>
    <t>DESNZ 2026 UK electricity!E25</t>
  </si>
  <si>
    <t>Scope 2 location-based. Excludes transmission losses and upstream fuels.</t>
  </si>
  <si>
    <t>PV annual yield</t>
  </si>
  <si>
    <t>kWh/kWp/yr</t>
  </si>
  <si>
    <t>Planning assumption</t>
  </si>
  <si>
    <t>P01</t>
  </si>
  <si>
    <t>Annual output before self-use. No shading or hourly matching model.</t>
  </si>
  <si>
    <t>SCOP multiplier</t>
  </si>
  <si>
    <t>multiplier</t>
  </si>
  <si>
    <t>Multiplies each building seasonal COP. Use to test annual performance.</t>
  </si>
  <si>
    <t>Unit heat-pump capacity</t>
  </si>
  <si>
    <t>kWt/unit</t>
  </si>
  <si>
    <t>Delivered heat at design conditions. Rounded up, no standby redundancy.</t>
  </si>
  <si>
    <t>Design COP</t>
  </si>
  <si>
    <t>kWt/kWe</t>
  </si>
  <si>
    <t>Used for peak electrical demand. Separate from annual seasonal COP.</t>
  </si>
  <si>
    <t>Installed HP cost</t>
  </si>
  <si>
    <t>£/kWt installed</t>
  </si>
  <si>
    <t>Planning allowance</t>
  </si>
  <si>
    <t>Plant, installation, emitters and integration allowance. Replace with quotations.</t>
  </si>
  <si>
    <t>PV installation cost</t>
  </si>
  <si>
    <t>£/kWp</t>
  </si>
  <si>
    <t>No battery. No grant or export income.</t>
  </si>
  <si>
    <t>Fabric works cost</t>
  </si>
  <si>
    <t>£/treated m²</t>
  </si>
  <si>
    <t>Applied to treated area, not automatically to total building floor area.</t>
  </si>
  <si>
    <t>Electrical upgrade cost</t>
  </si>
  <si>
    <t>£/kWe shortfall</t>
  </si>
  <si>
    <t>Linear screening allowance. Does not model transformer step costs.</t>
  </si>
  <si>
    <t>Professional fees</t>
  </si>
  <si>
    <t>fraction of direct cost</t>
  </si>
  <si>
    <t>Added to direct works subtotal.</t>
  </si>
  <si>
    <t>Contingency</t>
  </si>
  <si>
    <t>fraction of works + fees</t>
  </si>
  <si>
    <t>Applied after fees. Excludes VAT, grants and financing.</t>
  </si>
  <si>
    <t>Existing heating maintenance</t>
  </si>
  <si>
    <t>£/baseline kWt/yr</t>
  </si>
  <si>
    <t>Heating plant maintenance only. Other existing maintenance cancels.</t>
  </si>
  <si>
    <t>HP maintenance</t>
  </si>
  <si>
    <t>£/installed kWt/yr</t>
  </si>
  <si>
    <t>Fixed capacity-based annual maintenance.</t>
  </si>
  <si>
    <t>PV maintenance</t>
  </si>
  <si>
    <t>£/kWp/yr</t>
  </si>
  <si>
    <t>Fabric maintenance excluded.</t>
  </si>
  <si>
    <t>Portfolio price ratio</t>
  </si>
  <si>
    <t>electricity / gas</t>
  </si>
  <si>
    <t>Calculated</t>
  </si>
  <si>
    <t>Heat-pump bill savings depend strongly on this ratio.</t>
  </si>
  <si>
    <t>Colour key</t>
  </si>
  <si>
    <t>Amber / blue text = editable input</t>
  </si>
  <si>
    <t>White or pale blue = formula result</t>
  </si>
  <si>
    <t>S01–S02: official sources. P01: explicit planning assumptions. See Guide and sources for links and exclusions.</t>
  </si>
  <si>
    <t>Annual energy, OPEX and emissions</t>
  </si>
  <si>
    <t>Full gas-to-heat-pump conversion. Positive savings mean a reduction. All values are annual. Post-project gas is zero.</t>
  </si>
  <si>
    <t>Building ID</t>
  </si>
  <si>
    <t>Building</t>
  </si>
  <si>
    <t>Gas input kWh</t>
  </si>
  <si>
    <t>Other electricity kWh</t>
  </si>
  <si>
    <t>Boiler efficiency</t>
  </si>
  <si>
    <t>Useful heat kWh</t>
  </si>
  <si>
    <t>Heat reduction</t>
  </si>
  <si>
    <t>Post heat kWh</t>
  </si>
  <si>
    <t>Active SCOP</t>
  </si>
  <si>
    <t>HP electricity kWh</t>
  </si>
  <si>
    <t>PV kWp</t>
  </si>
  <si>
    <t>PV generation kWh</t>
  </si>
  <si>
    <t>PV self-used kWh</t>
  </si>
  <si>
    <t>PV exported kWh</t>
  </si>
  <si>
    <t>Grid import kWh</t>
  </si>
  <si>
    <t>Baseline Scope 1 tCO2e</t>
  </si>
  <si>
    <t>Baseline Scope 2 tCO2e</t>
  </si>
  <si>
    <t>Baseline total tCO2e</t>
  </si>
  <si>
    <t>Post Scope 2 tCO2e</t>
  </si>
  <si>
    <t>Emissions saved tCO2e</t>
  </si>
  <si>
    <t>Baseline energy £/yr</t>
  </si>
  <si>
    <t>Post energy £/yr</t>
  </si>
  <si>
    <t>Bill saving £/yr</t>
  </si>
  <si>
    <t>Baseline maintenance £/yr</t>
  </si>
  <si>
    <t>Post maintenance £/yr</t>
  </si>
  <si>
    <t>Baseline OPEX £/yr</t>
  </si>
  <si>
    <t>Post OPEX £/yr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</si>
  <si>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</si>
  <si>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</si>
  <si>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</si>
  <si>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</si>
  <si>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</si>
  <si>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</si>
  <si>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</si>
  <si>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</si>
  <si>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</si>
  <si>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</si>
  <si>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</si>
  <si>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</si>
  <si>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</si>
  <si>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</si>
  <si>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</si>
  <si>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</si>
  <si>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</si>
  <si>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</si>
  <si>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</si>
  <si>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</si>
  <si>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Portfolio total</t>
  </si>
  <si>
    <t>Equipment, electrical capacity and capital cost</t>
  </si>
  <si>
    <t>Peak electrical demand uses design COP and rounded installed capacity. PV provides no winter peak credit. Costs exclude VAT.</t>
  </si>
  <si>
    <t>Post design heat kWt</t>
  </si>
  <si>
    <t>Unit capacity kWt</t>
  </si>
  <si>
    <t>HP unit count</t>
  </si>
  <si>
    <t>Installed heat kWt</t>
  </si>
  <si>
    <t>Spare capacity kWe</t>
  </si>
  <si>
    <t>Shortfall kWe</t>
  </si>
  <si>
    <t>HP installation £</t>
  </si>
  <si>
    <t>Electrical upgrade £</t>
  </si>
  <si>
    <t>PV installation £</t>
  </si>
  <si>
    <t>Fabric works £</t>
  </si>
  <si>
    <t>Direct subtotal £</t>
  </si>
  <si>
    <t>Fees £</t>
  </si>
  <si>
    <t>Contingency £</t>
  </si>
  <si>
    <t>Total CAPEX £</t>
  </si>
  <si>
    <t>Simple payback years</t>
  </si>
  <si>
    <t>CAPEX / annual tCO2e saved</t>
  </si>
  <si>
    <t>Standardised consultant tariff comparison</t>
  </si>
  <si>
    <t>Invented consultant rates. Identical modelled kWh under both price sets isolates tariff effects. Energy bills only, excluding maintenance.</t>
  </si>
  <si>
    <t>Fictional consultant</t>
  </si>
  <si>
    <t>Gas p/kWh</t>
  </si>
  <si>
    <t>Electricity p/kWh</t>
  </si>
  <si>
    <t>Baseline gas kWh</t>
  </si>
  <si>
    <t>Baseline electricity kWh</t>
  </si>
  <si>
    <t>Post grid kWh</t>
  </si>
  <si>
    <t>Own-rate baseline £</t>
  </si>
  <si>
    <t>Own-rate post £</t>
  </si>
  <si>
    <t>Own-rate bill saving £</t>
  </si>
  <si>
    <t>Common baseline £</t>
  </si>
  <si>
    <t>Common post £</t>
  </si>
  <si>
    <t>Common bill saving £</t>
  </si>
  <si>
    <t>Baseline repricing £</t>
  </si>
  <si>
    <t>Post repricing £</t>
  </si>
  <si>
    <t>Saving adjustment £</t>
  </si>
  <si>
    <t>Bridge residual £</t>
  </si>
  <si>
    <t>Atlas Demo</t>
  </si>
  <si>
    <t>Beacon Demo</t>
  </si>
  <si>
    <t>Campus Demo</t>
  </si>
  <si>
    <t>Delta Demo</t>
  </si>
  <si>
    <t>Fictional building register</t>
  </si>
  <si>
    <t>Amber cells are editable. All buildings, surveys, capacities and study references are invented training data.</t>
  </si>
  <si>
    <t>Use</t>
  </si>
  <si>
    <t>Floor area m²</t>
  </si>
  <si>
    <t>Gas input kWh/yr GCV</t>
  </si>
  <si>
    <t>Other electricity kWh/yr</t>
  </si>
  <si>
    <t>Boiler efficiency GCV</t>
  </si>
  <si>
    <t>Annual heat reduction</t>
  </si>
  <si>
    <t>Baseline design heat kWt</t>
  </si>
  <si>
    <t>Peak heat reduction</t>
  </si>
  <si>
    <t>Seasonal COP</t>
  </si>
  <si>
    <t>Proposed PV kWp</t>
  </si>
  <si>
    <t>PV self-use fraction</t>
  </si>
  <si>
    <t>Fabric treated m²</t>
  </si>
  <si>
    <t>Project stage</t>
  </si>
  <si>
    <t>Fictional study ref</t>
  </si>
  <si>
    <t>Alder Library</t>
  </si>
  <si>
    <t>Library</t>
  </si>
  <si>
    <t>Feasibility</t>
  </si>
  <si>
    <t>DEMO-FS-01</t>
  </si>
  <si>
    <t>Birch Teaching Centre</t>
  </si>
  <si>
    <t>Teaching</t>
  </si>
  <si>
    <t>Survey</t>
  </si>
  <si>
    <t>DEMO-FS-02</t>
  </si>
  <si>
    <t>Cedar Chemistry Lab</t>
  </si>
  <si>
    <t>Laboratory</t>
  </si>
  <si>
    <t>Design</t>
  </si>
  <si>
    <t>DEMO-FS-03</t>
  </si>
  <si>
    <t>Dove Administration</t>
  </si>
  <si>
    <t>Office</t>
  </si>
  <si>
    <t>DEMO-FS-04</t>
  </si>
  <si>
    <t>Elm Residence</t>
  </si>
  <si>
    <t>Residence</t>
  </si>
  <si>
    <t>DEMO-FS-05</t>
  </si>
  <si>
    <t>Fern Engineering</t>
  </si>
  <si>
    <t>Engineering</t>
  </si>
  <si>
    <t>DEMO-FS-06</t>
  </si>
  <si>
    <t>Grove Humanities</t>
  </si>
  <si>
    <t>DEMO-FS-07</t>
  </si>
  <si>
    <t>Hazel Sports Centre</t>
  </si>
  <si>
    <t>Sports</t>
  </si>
  <si>
    <t>DEMO-FS-08</t>
  </si>
  <si>
    <t>Iris Computing</t>
  </si>
  <si>
    <t>Computing</t>
  </si>
  <si>
    <t>DEMO-FS-09</t>
  </si>
  <si>
    <t>Juniper Research</t>
  </si>
  <si>
    <t>DEMO-FS-10</t>
  </si>
  <si>
    <t>Kingfisher Hall</t>
  </si>
  <si>
    <t>DEMO-FS-11</t>
  </si>
  <si>
    <t>Larch Medical Sciences</t>
  </si>
  <si>
    <t>DEMO-FS-12</t>
  </si>
  <si>
    <t>Maple Arts Studio</t>
  </si>
  <si>
    <t>Arts</t>
  </si>
  <si>
    <t>DEMO-FS-13</t>
  </si>
  <si>
    <t>Newton Lecture Block</t>
  </si>
  <si>
    <t>DEMO-FS-14</t>
  </si>
  <si>
    <t>Oak Student Centre</t>
  </si>
  <si>
    <t>Student services</t>
  </si>
  <si>
    <t>DEMO-FS-15</t>
  </si>
  <si>
    <t>Pine Archives</t>
  </si>
  <si>
    <t>Archive</t>
  </si>
  <si>
    <t>DEMO-FS-16</t>
  </si>
  <si>
    <t>Quartz Physics</t>
  </si>
  <si>
    <t>DEMO-FS-17</t>
  </si>
  <si>
    <t>Rowan Graduate House</t>
  </si>
  <si>
    <t>DEMO-FS-18</t>
  </si>
  <si>
    <t>Sycamore Workshop</t>
  </si>
  <si>
    <t>Workshop</t>
  </si>
  <si>
    <t>DEMO-FS-19</t>
  </si>
  <si>
    <t>Willow Innovation</t>
  </si>
  <si>
    <t>Research</t>
  </si>
  <si>
    <t>DEMO-FS-20</t>
  </si>
  <si>
    <t>Quality assurance</t>
  </si>
  <si>
    <t>Residuals should be zero within tolerance. FAIL identifies a broken check. REVIEW means a source input needs attention.</t>
  </si>
  <si>
    <t>Input issues</t>
  </si>
  <si>
    <t>Duplicate ID count</t>
  </si>
  <si>
    <t>Heat balance kWh</t>
  </si>
  <si>
    <t>Electricity balance kWh</t>
  </si>
  <si>
    <t>PV balance kWh</t>
  </si>
  <si>
    <t>Tariff bridge £</t>
  </si>
  <si>
    <t>CAPEX residual £</t>
  </si>
  <si>
    <t>Capacity margin kWt</t>
  </si>
  <si>
    <t>Result</t>
  </si>
  <si>
    <t>Overall checks</t>
  </si>
  <si>
    <t>Building count</t>
  </si>
  <si>
    <t>Detail results</t>
  </si>
  <si>
    <t>OPEX reconciliation £</t>
  </si>
  <si>
    <t>Cluster CAPEX residual £</t>
  </si>
  <si>
    <t>Cluster carbon residual t</t>
  </si>
  <si>
    <t>Numeric inputs complete</t>
  </si>
  <si>
    <t>Assumption ranges</t>
  </si>
  <si>
    <t>Consultant rates complete</t>
  </si>
  <si>
    <t>Residual tolerances: 0.01 kWh or £ for row checks. Capacity margin must be non-negative.</t>
  </si>
  <si>
    <t>PASS confirms arithmetic and listed input checks only. It does not validate a survey, quotation or connection offer.</t>
  </si>
  <si>
    <t>How to use the workbook and source register</t>
  </si>
  <si>
    <t>Topic</t>
  </si>
  <si>
    <t>Explanation</t>
  </si>
  <si>
    <t>1. Edit inputs</t>
  </si>
  <si>
    <t>Change amber cells in Assumptions, Buildings and Consultant. Replace fictional survey data before using real results.</t>
  </si>
  <si>
    <t>2. Follow calculations</t>
  </si>
  <si>
    <t>Energy shows useful heat, demand reduction, heat-pump electricity, PV, bills, maintenance and emissions.</t>
  </si>
  <si>
    <t>3. Review programme</t>
  </si>
  <si>
    <t>CAPEX estimates plant numbers, peak electric demand and capital costs. Summary aggregates all 20 buildings and four clusters.</t>
  </si>
  <si>
    <t>4. Compare consultants</t>
  </si>
  <si>
    <t>Consultant applies each invented tariff pair to the same baseline and post-project kWh. Then applies common tariffs.</t>
  </si>
  <si>
    <t>5. Check QA</t>
  </si>
  <si>
    <t>Check all row results and residuals. Fix missing, invalid or duplicate inputs. Formula errors remain visible.</t>
  </si>
  <si>
    <t>Gas input × boiler efficiency, both on a gross calorific value basis. Gas is assumed to serve heating and hot water only.</t>
  </si>
  <si>
    <t>Annual heat-pump demand</t>
  </si>
  <si>
    <t>Useful heat × (1 − annual heat reduction) ÷ seasonal COP. SCOP includes auxiliaries and defrost in this simplified model.</t>
  </si>
  <si>
    <t>Peak design</t>
  </si>
  <si>
    <t>Baseline design heat × (1 − peak heat reduction). Round up to 100 kWt units. Installed kWt ÷ design COP gives peak kWe.</t>
  </si>
  <si>
    <t>PV</t>
  </si>
  <si>
    <t>Generation = kWp × annual yield. Self-use = MIN(generation × self-use fraction, annual total electric demand). Export has no income or carbon credit.</t>
  </si>
  <si>
    <t>Cost comparison</t>
  </si>
  <si>
    <t>Positive saving = baseline minus proposed. Energy bills use common p/kWh ÷ 100. OPEX adds heating/PV maintenance.</t>
  </si>
  <si>
    <t>CAPEX</t>
  </si>
  <si>
    <t>Direct works + professional fees + contingency on works and fees. Zero grants, no VAT, financing or inflation.</t>
  </si>
  <si>
    <t>Payback</t>
  </si>
  <si>
    <t>Total CAPEX ÷ positive annual OPEX saving. No saving is shown when annual OPEX saving is zero or negative.</t>
  </si>
  <si>
    <t>Emissions</t>
  </si>
  <si>
    <t>Scope 1 gas combustion plus Scope 2 location-based grid electricity. Post gas = 0. Factors are fixed at 2026 values for both cases.</t>
  </si>
  <si>
    <t>Carbon metric</t>
  </si>
  <si>
    <t>CAPEX / annual tonnes saved is £ per (tCO2e/year), not a lifetime marginal abatement cost or carbon price.</t>
  </si>
  <si>
    <t>Tariff standardisation</t>
  </si>
  <si>
    <t>Common saving − own-rate saving = baseline repricing − post repricing. No technical performance changes are attributed to tariffs.</t>
  </si>
  <si>
    <t>Price limitations</t>
  </si>
  <si>
    <t>DESNZ prices are fully delivered averages including fixed-cost elements, not marginal unit tariffs. No extra standing charge or CCL is added.</t>
  </si>
  <si>
    <t>Engineering limits</t>
  </si>
  <si>
    <t>No hourly simulation, N+1 standby, thermal storage, retained boilers, cooling interactions or heat-network distribution losses.</t>
  </si>
  <si>
    <t>Fabric and hot water</t>
  </si>
  <si>
    <t>Annual heat reduction is a blended assumption across space heat and hot water. Replace with separate demands for detailed design.</t>
  </si>
  <si>
    <t>Electrical limits</t>
  </si>
  <si>
    <t>Clusters are geographical reporting groups. Peaks are undiversified sums. Site shortfalls are summed without pooling spare capacity.</t>
  </si>
  <si>
    <t>Uncertainty</t>
  </si>
  <si>
    <t>All building demand, peak loads, COPs, PV sizes, savings, costs and maintenance are illustrative. Validate with surveys and quotations.</t>
  </si>
  <si>
    <t>Emissions exclusions</t>
  </si>
  <si>
    <t>No embodied carbon, refrigerant leakage, upstream fuel emissions, electricity T&amp;D losses, market-based accounting or future grid decarbonisation.</t>
  </si>
  <si>
    <t>Updates and extension</t>
  </si>
  <si>
    <t>Edit the existing 20 records. Tables are filterable. Adding buildings requires extending build rows, bounded lookup ranges, QA and summaries.</t>
  </si>
  <si>
    <t>Source / evidence</t>
  </si>
  <si>
    <t>URL</t>
  </si>
  <si>
    <t>Published / period</t>
  </si>
  <si>
    <t>Location</t>
  </si>
  <si>
    <t>DESNZ GHG conversion factors 2026. Full workbook downloaded and numeric cells verified.</t>
  </si>
  <si>
    <t>https://www.gov.uk/government/publications/greenhouse-gas-reporting-conversion-factors-2026</t>
  </si>
  <si>
    <t>11 Jun 2026; page updated 31 Jul 2026</t>
  </si>
  <si>
    <t>Fuels!D42; UK electricity!E25</t>
  </si>
  <si>
    <t>Gas 0.18231; electricity 0.13096 kgCO2e/kWh.</t>
  </si>
  <si>
    <t>S01a</t>
  </si>
  <si>
    <t>DESNZ 2026 methodology paper. Gas GCV paragraph 2.9. Electricity scope paragraph 3.1 and Table 9.</t>
  </si>
  <si>
    <t>https://assets.publishing.service.gov.uk/media/6a2940543b15d05a7ce3202e/2026-GHG-conversion-factors-methodology-report.pdf</t>
  </si>
  <si>
    <t>2026</t>
  </si>
  <si>
    <t>Pages 20, 25 and 34–35 (printed)</t>
  </si>
  <si>
    <t>Use gross-CV gas and Scope 2 generation factor.</t>
  </si>
  <si>
    <t>S01b</t>
  </si>
  <si>
    <t>Original 2026 full-set workbook. No revision to full set in July.</t>
  </si>
  <si>
    <t>https://assets.publishing.service.gov.uk/media/6a29392bade52dc0882218a8/ghg-conversion-factors-2026-full-set.xlsx</t>
  </si>
  <si>
    <t>11 Jun 2026</t>
  </si>
  <si>
    <t>Fuels!D42 = 0.18231; UK electricity!E25 = 0.13096</t>
  </si>
  <si>
    <t>Exact numeric provenance for editable factors.</t>
  </si>
  <si>
    <t>DESNZ non-domestic prices QEP 3.4.2. Includes CCL, excludes VAT. Q2 provisional.</t>
  </si>
  <si>
    <t>https://www.gov.uk/government/statistical-data-sets/gas-and-electricity-prices-in-the-non-domestic-sector</t>
  </si>
  <si>
    <t>29 Sep 2026; Apr–Jun 2026</t>
  </si>
  <si>
    <t>3.4.2 (incl CCL)!J98 and P98; Notes sheet</t>
  </si>
  <si>
    <t>All-band electricity 24.50920275p; gas 5.27689274p.</t>
  </si>
  <si>
    <t>S02a</t>
  </si>
  <si>
    <t>Underlying QEP tables downloaded and cells verified. Small/medium electricity 27.666571p; small gas 4.856000p.</t>
  </si>
  <si>
    <t>https://assets.publishing.service.gov.uk/media/6ab543da997a4b2950cceedc/table_341.xlsx</t>
  </si>
  <si>
    <t>29 Sep 2026</t>
  </si>
  <si>
    <t>3.4.2 (incl CCL)!E98 and L98</t>
  </si>
  <si>
    <t>Band prices illustrate variation. Common model uses all-band averages.</t>
  </si>
  <si>
    <t>S02b</t>
  </si>
  <si>
    <t>Quarterly Energy Prices September 2026, official statistical release.</t>
  </si>
  <si>
    <t>https://www.gov.uk/government/statistics/quarterly-energy-prices-september-2026</t>
  </si>
  <si>
    <t>Non-domestic chapter</t>
  </si>
  <si>
    <t>Context and provisional price methodology.</t>
  </si>
  <si>
    <t>Author-defined fictional planning assumptions and synthetic building register.</t>
  </si>
  <si>
    <t>Not an external source</t>
  </si>
  <si>
    <t>25 Oct 2026</t>
  </si>
  <si>
    <t>Buildings; Consultant; Assumptions B11:B23</t>
  </si>
  <si>
    <t>Costs are allowances, not government benchmarks or supplier quotations.</t>
  </si>
  <si>
    <t>Research accessed</t>
  </si>
  <si>
    <t>Fictional example. No actual Oxford buildings or consultant reports are represented.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</si>
</sst>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;[Red]\(#,##0\);\–"/>
    <numFmt numFmtId="165" formatCode="0.0%"/>
    <numFmt numFmtId="166" formatCode="0.00000"/>
    <numFmt numFmtId="167" formatCode="#,##0.0;[Red]\(#,##0.0\);\–"/>
    <numFmt numFmtId="168" formatCode="&quot;£&quot;#,##0;[Red]\(&quot;£&quot;#,##0\);\–"/>
    <numFmt numFmtId="169" formatCode="0.0"/>
    <numFmt numFmtId="170" formatCode="0.000"/>
    <numFmt numFmtId="171" formatCode="dd\ mmm\ yyyy"/>
  </numFmts>
  <fonts count="7">
    <font>
      <sz val="11"/>
      <name val="Carlito"/>
    </font>
    <font>
      <sz val="10"/>
      <color rgb="FF243746"/>
      <name val="Arial"/>
      <family val="2"/>
    </font>
    <font>
      <b/>
      <sz val="16"/>
      <color rgb="FF203B56"/>
      <name val="Arial"/>
      <family val="2"/>
    </font>
    <font>
      <i/>
      <sz val="10"/>
      <color rgb="FF5C6873"/>
      <name val="Arial"/>
      <family val="2"/>
    </font>
    <font>
      <b/>
      <sz val="10"/>
      <color rgb="FFFFFFFF"/>
      <name val="Arial"/>
      <family val="2"/>
    </font>
    <font>
      <sz val="10"/>
      <color rgb="FF205D91"/>
      <name val="Arial"/>
      <family val="2"/>
    </font>
    <font>
      <b/>
      <sz val="10"/>
      <color rgb="FF24374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03B56"/>
      </patternFill>
    </fill>
    <fill>
      <patternFill patternType="solid">
        <fgColor rgb="FFEFF4F8"/>
      </patternFill>
    </fill>
    <fill>
      <patternFill patternType="solid">
        <fgColor rgb="FFFFF2CC"/>
      </patternFill>
    </fill>
    <fill>
      <patternFill patternType="solid">
        <fgColor rgb="FFDCE7F0"/>
      </patternFill>
    </fill>
  </fills>
  <borders count="2">
    <border>
      <left/>
      <right/>
      <top/>
      <bottom/>
      <diagonal/>
    </border>
    <border>
      <left/>
      <right/>
      <top/>
      <bottom style="thin">
        <color rgb="FF356B99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vertical="center"/>
    </xf>
    <xf numFmtId="164" fontId="1" fillId="0" borderId="0" xfId="0" applyNumberFormat="1" applyFont="1" applyAlignment="1">
      <alignment vertical="center"/>
    </xf>
    <xf numFmtId="164" fontId="1" fillId="3" borderId="0" xfId="0" applyNumberFormat="1" applyFont="1" applyFill="1" applyAlignment="1">
      <alignment vertical="center"/>
    </xf>
    <xf numFmtId="0" fontId="5" fillId="4" borderId="0" xfId="0" applyFont="1" applyFill="1" applyAlignment="1">
      <alignment vertical="center"/>
    </xf>
    <xf numFmtId="164" fontId="5" fillId="4" borderId="0" xfId="0" applyNumberFormat="1" applyFont="1" applyFill="1" applyAlignment="1">
      <alignment vertical="center"/>
    </xf>
    <xf numFmtId="165" fontId="5" fillId="4" borderId="0" xfId="0" applyNumberFormat="1" applyFont="1" applyFill="1" applyAlignment="1">
      <alignment vertical="center"/>
    </xf>
    <xf numFmtId="2" fontId="5" fillId="4" borderId="0" xfId="0" applyNumberFormat="1" applyFont="1" applyFill="1" applyAlignment="1">
      <alignment vertical="center"/>
    </xf>
    <xf numFmtId="166" fontId="5" fillId="4" borderId="0" xfId="0" applyNumberFormat="1" applyFont="1" applyFill="1" applyAlignment="1">
      <alignment vertical="center"/>
    </xf>
    <xf numFmtId="4" fontId="5" fillId="4" borderId="0" xfId="0" applyNumberFormat="1" applyFont="1" applyFill="1" applyAlignment="1">
      <alignment vertical="center"/>
    </xf>
    <xf numFmtId="2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165" fontId="1" fillId="3" borderId="0" xfId="0" applyNumberFormat="1" applyFont="1" applyFill="1" applyAlignment="1">
      <alignment vertical="center"/>
    </xf>
    <xf numFmtId="2" fontId="1" fillId="3" borderId="0" xfId="0" applyNumberFormat="1" applyFont="1" applyFill="1" applyAlignment="1">
      <alignment vertical="center"/>
    </xf>
    <xf numFmtId="167" fontId="1" fillId="0" borderId="0" xfId="0" applyNumberFormat="1" applyFont="1" applyAlignment="1">
      <alignment vertical="center"/>
    </xf>
    <xf numFmtId="167" fontId="1" fillId="3" borderId="0" xfId="0" applyNumberFormat="1" applyFont="1" applyFill="1" applyAlignment="1">
      <alignment vertical="center"/>
    </xf>
    <xf numFmtId="168" fontId="1" fillId="0" borderId="0" xfId="0" applyNumberFormat="1" applyFont="1" applyAlignment="1">
      <alignment vertical="center"/>
    </xf>
    <xf numFmtId="168" fontId="1" fillId="3" borderId="0" xfId="0" applyNumberFormat="1" applyFont="1" applyFill="1" applyAlignment="1">
      <alignment vertical="center"/>
    </xf>
    <xf numFmtId="169" fontId="1" fillId="0" borderId="0" xfId="0" applyNumberFormat="1" applyFont="1" applyAlignment="1">
      <alignment vertical="center"/>
    </xf>
    <xf numFmtId="169" fontId="1" fillId="3" borderId="0" xfId="0" applyNumberFormat="1" applyFont="1" applyFill="1" applyAlignment="1">
      <alignment vertical="center"/>
    </xf>
    <xf numFmtId="0" fontId="6" fillId="5" borderId="0" xfId="0" applyFont="1" applyFill="1" applyAlignment="1">
      <alignment vertical="center"/>
    </xf>
    <xf numFmtId="164" fontId="6" fillId="5" borderId="0" xfId="0" applyNumberFormat="1" applyFont="1" applyFill="1" applyAlignment="1">
      <alignment vertical="center"/>
    </xf>
    <xf numFmtId="165" fontId="6" fillId="5" borderId="0" xfId="0" applyNumberFormat="1" applyFont="1" applyFill="1" applyAlignment="1">
      <alignment vertical="center"/>
    </xf>
    <xf numFmtId="167" fontId="6" fillId="5" borderId="0" xfId="0" applyNumberFormat="1" applyFont="1" applyFill="1" applyAlignment="1">
      <alignment vertical="center"/>
    </xf>
    <xf numFmtId="168" fontId="6" fillId="5" borderId="0" xfId="0" applyNumberFormat="1" applyFont="1" applyFill="1" applyAlignment="1">
      <alignment vertical="center"/>
    </xf>
    <xf numFmtId="169" fontId="6" fillId="5" borderId="0" xfId="0" applyNumberFormat="1" applyFont="1" applyFill="1" applyAlignment="1">
      <alignment vertical="center"/>
    </xf>
    <xf numFmtId="170" fontId="1" fillId="0" borderId="0" xfId="0" applyNumberFormat="1" applyFont="1" applyAlignment="1">
      <alignment vertical="center"/>
    </xf>
    <xf numFmtId="170" fontId="1" fillId="3" borderId="0" xfId="0" applyNumberFormat="1" applyFont="1" applyFill="1" applyAlignment="1">
      <alignment vertical="center"/>
    </xf>
    <xf numFmtId="0" fontId="1" fillId="0" borderId="0" xfId="0" applyFont="1" applyAlignment="1">
      <alignment vertical="center" wrapText="1"/>
    </xf>
    <xf numFmtId="171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color rgb="FF975E00"/>
      </font>
      <fill>
        <patternFill patternType="solid">
          <bgColor rgb="FFFFF2CC"/>
        </patternFill>
      </fill>
    </dxf>
    <dxf>
      <font>
        <b/>
        <color rgb="FFA52714"/>
      </font>
      <fill>
        <patternFill patternType="solid">
          <bgColor rgb="FFFCE4D6"/>
        </patternFill>
      </fill>
    </dxf>
    <dxf>
      <font>
        <color rgb="FFA52714"/>
      </font>
      <fill>
        <patternFill patternType="solid">
          <bgColor rgb="FFFCE4D6"/>
        </patternFill>
      </fill>
    </dxf>
    <dxf>
      <font>
        <color rgb="FFA52714"/>
      </font>
      <fill>
        <patternFill patternType="solid">
          <bgColor rgb="FFFCE4D6"/>
        </patternFill>
      </fill>
    </dxf>
    <dxf>
      <font>
        <color rgb="FFA52714"/>
      </font>
      <fill>
        <patternFill patternType="solid">
          <bgColor rgb="FFFCE4D6"/>
        </patternFill>
      </fill>
    </dxf>
    <dxf>
      <font>
        <color rgb="FFA52714"/>
      </font>
      <fill>
        <patternFill patternType="solid">
          <bgColor rgb="FFFCE4D6"/>
        </patternFill>
      </fill>
    </dxf>
    <dxf>
      <font>
        <color rgb="FFA52714"/>
      </font>
      <fill>
        <patternFill patternType="solid">
          <bgColor rgb="FFFCE4D6"/>
        </patternFill>
      </fill>
    </dxf>
    <dxf>
      <font>
        <color rgb="FFA52714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 sz="975">
                <a:latin typeface="Arial"/>
                <a:ea typeface="Arial"/>
                <a:cs typeface="Arial"/>
              </a:rPr>
              <a:t>Annual emissions saved by cluster (tCO2e)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Emissions saved t/yr</c:v>
          </c:tx>
          <c:spPr>
            <a:solidFill>
              <a:srgbClr val="356B99"/>
            </a:solidFill>
          </c:spPr>
          <c:invertIfNegative val="0"/>
          <c:cat>
            <c:strRef>
              <c:f>Summary!$A$24:$A$27</c:f>
              <c:strCache>
                <c:ptCount val="4"/>
                <c:pt idx="0">
                  <c:v>North</c:v>
                </c:pt>
                <c:pt idx="1">
                  <c:v>Central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Summary!$D$24:$D$27</c:f>
              <c:numCache>
                <c:formatCode>#,##0.0;[Red]\(#,##0.0\);\–</c:formatCode>
                <c:ptCount val="4"/>
                <c:pt idx="0">
                  <c:v>679.8043208716274</c:v>
                </c:pt>
                <c:pt idx="1">
                  <c:v>911.73249086175144</c:v>
                </c:pt>
                <c:pt idx="2">
                  <c:v>753.78470201528933</c:v>
                </c:pt>
                <c:pt idx="3">
                  <c:v>801.32745748423531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E6-4625-84BA-81F91F7EDD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txPr>
          <a:bodyPr anchorCtr="1"/>
          <a:lstStyle/>
          <a:p>
            <a:pPr>
              <a:defRPr sz="75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13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EnergyTable" displayName="EnergyTable" ref="A6:AD26" totalsRowShown="0">
  <tableColumns count="30">
    <tableColumn id="1" xr3:uid="{00000000-0010-0000-0000-000001000000}" name="Building ID"/>
    <tableColumn id="2" xr3:uid="{00000000-0010-0000-0000-000002000000}" name="Building"/>
    <tableColumn id="3" xr3:uid="{00000000-0010-0000-0000-000003000000}" name="Cluster"/>
    <tableColumn id="4" xr3:uid="{00000000-0010-0000-0000-000004000000}" name="Gas input kWh"/>
    <tableColumn id="5" xr3:uid="{00000000-0010-0000-0000-000005000000}" name="Other electricity kWh"/>
    <tableColumn id="6" xr3:uid="{00000000-0010-0000-0000-000006000000}" name="Boiler efficiency"/>
    <tableColumn id="7" xr3:uid="{00000000-0010-0000-0000-000007000000}" name="Useful heat kWh"/>
    <tableColumn id="8" xr3:uid="{00000000-0010-0000-0000-000008000000}" name="Heat reduction"/>
    <tableColumn id="9" xr3:uid="{00000000-0010-0000-0000-000009000000}" name="Post heat kWh"/>
    <tableColumn id="10" xr3:uid="{00000000-0010-0000-0000-00000A000000}" name="Active SCOP"/>
    <tableColumn id="11" xr3:uid="{00000000-0010-0000-0000-00000B000000}" name="HP electricity kWh"/>
    <tableColumn id="12" xr3:uid="{00000000-0010-0000-0000-00000C000000}" name="PV kWp"/>
    <tableColumn id="13" xr3:uid="{00000000-0010-0000-0000-00000D000000}" name="PV generation kWh"/>
    <tableColumn id="14" xr3:uid="{00000000-0010-0000-0000-00000E000000}" name="PV self-used kWh"/>
    <tableColumn id="15" xr3:uid="{00000000-0010-0000-0000-00000F000000}" name="PV exported kWh"/>
    <tableColumn id="16" xr3:uid="{00000000-0010-0000-0000-000010000000}" name="Grid import kWh"/>
    <tableColumn id="17" xr3:uid="{00000000-0010-0000-0000-000011000000}" name="Baseline Scope 1 tCO2e"/>
    <tableColumn id="18" xr3:uid="{00000000-0010-0000-0000-000012000000}" name="Baseline Scope 2 tCO2e"/>
    <tableColumn id="19" xr3:uid="{00000000-0010-0000-0000-000013000000}" name="Baseline total tCO2e"/>
    <tableColumn id="20" xr3:uid="{00000000-0010-0000-0000-000014000000}" name="Post Scope 2 tCO2e"/>
    <tableColumn id="21" xr3:uid="{00000000-0010-0000-0000-000015000000}" name="Emissions saved tCO2e"/>
    <tableColumn id="22" xr3:uid="{00000000-0010-0000-0000-000016000000}" name="Emissions reduction"/>
    <tableColumn id="23" xr3:uid="{00000000-0010-0000-0000-000017000000}" name="Baseline energy £/yr"/>
    <tableColumn id="24" xr3:uid="{00000000-0010-0000-0000-000018000000}" name="Post energy £/yr"/>
    <tableColumn id="25" xr3:uid="{00000000-0010-0000-0000-000019000000}" name="Bill saving £/yr"/>
    <tableColumn id="26" xr3:uid="{00000000-0010-0000-0000-00001A000000}" name="Baseline maintenance £/yr"/>
    <tableColumn id="27" xr3:uid="{00000000-0010-0000-0000-00001B000000}" name="Post maintenance £/yr"/>
    <tableColumn id="28" xr3:uid="{00000000-0010-0000-0000-00001C000000}" name="Baseline OPEX £/yr"/>
    <tableColumn id="29" xr3:uid="{00000000-0010-0000-0000-00001D000000}" name="Post OPEX £/yr"/>
    <tableColumn id="30" xr3:uid="{00000000-0010-0000-0000-00001E000000}" name="OPEX saving £/y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CAPEXTable" displayName="CAPEXTable" ref="A6:V26" totalsRowShown="0">
  <tableColumns count="22">
    <tableColumn id="1" xr3:uid="{00000000-0010-0000-0100-000001000000}" name="Building ID"/>
    <tableColumn id="2" xr3:uid="{00000000-0010-0000-0100-000002000000}" name="Building"/>
    <tableColumn id="3" xr3:uid="{00000000-0010-0000-0100-000003000000}" name="Cluster"/>
    <tableColumn id="4" xr3:uid="{00000000-0010-0000-0100-000004000000}" name="Post design heat kWt"/>
    <tableColumn id="5" xr3:uid="{00000000-0010-0000-0100-000005000000}" name="Unit capacity kWt"/>
    <tableColumn id="6" xr3:uid="{00000000-0010-0000-0100-000006000000}" name="HP unit count"/>
    <tableColumn id="7" xr3:uid="{00000000-0010-0000-0100-000007000000}" name="Installed heat kWt"/>
    <tableColumn id="8" xr3:uid="{00000000-0010-0000-0100-000008000000}" name="Design COP"/>
    <tableColumn id="9" xr3:uid="{00000000-0010-0000-0100-000009000000}" name="Additional peak kWe"/>
    <tableColumn id="10" xr3:uid="{00000000-0010-0000-0100-00000A000000}" name="Spare capacity kWe"/>
    <tableColumn id="11" xr3:uid="{00000000-0010-0000-0100-00000B000000}" name="Shortfall kWe"/>
    <tableColumn id="12" xr3:uid="{00000000-0010-0000-0100-00000C000000}" name="HP installation £"/>
    <tableColumn id="13" xr3:uid="{00000000-0010-0000-0100-00000D000000}" name="Electrical upgrade £"/>
    <tableColumn id="14" xr3:uid="{00000000-0010-0000-0100-00000E000000}" name="PV installation £"/>
    <tableColumn id="15" xr3:uid="{00000000-0010-0000-0100-00000F000000}" name="Fabric works £"/>
    <tableColumn id="16" xr3:uid="{00000000-0010-0000-0100-000010000000}" name="Direct subtotal £"/>
    <tableColumn id="17" xr3:uid="{00000000-0010-0000-0100-000011000000}" name="Fees £"/>
    <tableColumn id="18" xr3:uid="{00000000-0010-0000-0100-000012000000}" name="Contingency £"/>
    <tableColumn id="19" xr3:uid="{00000000-0010-0000-0100-000013000000}" name="Total CAPEX £"/>
    <tableColumn id="20" xr3:uid="{00000000-0010-0000-0100-000014000000}" name="OPEX saving £/yr"/>
    <tableColumn id="21" xr3:uid="{00000000-0010-0000-0100-000015000000}" name="Simple payback years"/>
    <tableColumn id="22" xr3:uid="{00000000-0010-0000-0100-000016000000}" name="CAPEX / annual tCO2e save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ConsultantTable" displayName="ConsultantTable" ref="A6:Q26" totalsRowShown="0">
  <tableColumns count="17">
    <tableColumn id="1" xr3:uid="{00000000-0010-0000-0200-000001000000}" name="Building ID"/>
    <tableColumn id="2" xr3:uid="{00000000-0010-0000-0200-000002000000}" name="Fictional consultant"/>
    <tableColumn id="3" xr3:uid="{00000000-0010-0000-0200-000003000000}" name="Gas p/kWh"/>
    <tableColumn id="4" xr3:uid="{00000000-0010-0000-0200-000004000000}" name="Electricity p/kWh"/>
    <tableColumn id="5" xr3:uid="{00000000-0010-0000-0200-000005000000}" name="Baseline gas kWh"/>
    <tableColumn id="6" xr3:uid="{00000000-0010-0000-0200-000006000000}" name="Baseline electricity kWh"/>
    <tableColumn id="7" xr3:uid="{00000000-0010-0000-0200-000007000000}" name="Post grid kWh"/>
    <tableColumn id="8" xr3:uid="{00000000-0010-0000-0200-000008000000}" name="Own-rate baseline £"/>
    <tableColumn id="9" xr3:uid="{00000000-0010-0000-0200-000009000000}" name="Own-rate post £"/>
    <tableColumn id="10" xr3:uid="{00000000-0010-0000-0200-00000A000000}" name="Own-rate bill saving £"/>
    <tableColumn id="11" xr3:uid="{00000000-0010-0000-0200-00000B000000}" name="Common baseline £"/>
    <tableColumn id="12" xr3:uid="{00000000-0010-0000-0200-00000C000000}" name="Common post £"/>
    <tableColumn id="13" xr3:uid="{00000000-0010-0000-0200-00000D000000}" name="Common bill saving £"/>
    <tableColumn id="14" xr3:uid="{00000000-0010-0000-0200-00000E000000}" name="Baseline repricing £"/>
    <tableColumn id="15" xr3:uid="{00000000-0010-0000-0200-00000F000000}" name="Post repricing £"/>
    <tableColumn id="16" xr3:uid="{00000000-0010-0000-0200-000010000000}" name="Saving adjustment £"/>
    <tableColumn id="17" xr3:uid="{00000000-0010-0000-0200-000011000000}" name="Bridge residual £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BuildingsTable" displayName="BuildingsTable" ref="A6:R26" totalsRowShown="0">
  <tableColumns count="18">
    <tableColumn id="1" xr3:uid="{00000000-0010-0000-0300-000001000000}" name="Building ID"/>
    <tableColumn id="2" xr3:uid="{00000000-0010-0000-0300-000002000000}" name="Building"/>
    <tableColumn id="3" xr3:uid="{00000000-0010-0000-0300-000003000000}" name="Cluster"/>
    <tableColumn id="4" xr3:uid="{00000000-0010-0000-0300-000004000000}" name="Use"/>
    <tableColumn id="5" xr3:uid="{00000000-0010-0000-0300-000005000000}" name="Floor area m²"/>
    <tableColumn id="6" xr3:uid="{00000000-0010-0000-0300-000006000000}" name="Gas input kWh/yr GCV"/>
    <tableColumn id="7" xr3:uid="{00000000-0010-0000-0300-000007000000}" name="Other electricity kWh/yr"/>
    <tableColumn id="8" xr3:uid="{00000000-0010-0000-0300-000008000000}" name="Boiler efficiency GCV"/>
    <tableColumn id="9" xr3:uid="{00000000-0010-0000-0300-000009000000}" name="Annual heat reduction"/>
    <tableColumn id="10" xr3:uid="{00000000-0010-0000-0300-00000A000000}" name="Baseline design heat kWt"/>
    <tableColumn id="11" xr3:uid="{00000000-0010-0000-0300-00000B000000}" name="Peak heat reduction"/>
    <tableColumn id="12" xr3:uid="{00000000-0010-0000-0300-00000C000000}" name="Seasonal COP"/>
    <tableColumn id="13" xr3:uid="{00000000-0010-0000-0300-00000D000000}" name="Proposed PV kWp"/>
    <tableColumn id="14" xr3:uid="{00000000-0010-0000-0300-00000E000000}" name="PV self-use fraction"/>
    <tableColumn id="15" xr3:uid="{00000000-0010-0000-0300-00000F000000}" name="Fabric treated m²"/>
    <tableColumn id="16" xr3:uid="{00000000-0010-0000-0300-000010000000}" name="Spare capacity kWe"/>
    <tableColumn id="17" xr3:uid="{00000000-0010-0000-0300-000011000000}" name="Project stage"/>
    <tableColumn id="18" xr3:uid="{00000000-0010-0000-0300-000012000000}" name="Fictional study ref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QATable" displayName="QATable" ref="A6:K26" totalsRowShown="0">
  <tableColumns count="11">
    <tableColumn id="1" xr3:uid="{00000000-0010-0000-0400-000001000000}" name="Building ID"/>
    <tableColumn id="2" xr3:uid="{00000000-0010-0000-0400-000002000000}" name="Building"/>
    <tableColumn id="3" xr3:uid="{00000000-0010-0000-0400-000003000000}" name="Input issues"/>
    <tableColumn id="4" xr3:uid="{00000000-0010-0000-0400-000004000000}" name="Duplicate ID count"/>
    <tableColumn id="5" xr3:uid="{00000000-0010-0000-0400-000005000000}" name="Heat balance kWh"/>
    <tableColumn id="6" xr3:uid="{00000000-0010-0000-0400-000006000000}" name="Electricity balance kWh"/>
    <tableColumn id="7" xr3:uid="{00000000-0010-0000-0400-000007000000}" name="PV balance kWh"/>
    <tableColumn id="8" xr3:uid="{00000000-0010-0000-0400-000008000000}" name="Tariff bridge £"/>
    <tableColumn id="9" xr3:uid="{00000000-0010-0000-0400-000009000000}" name="CAPEX residual £"/>
    <tableColumn id="10" xr3:uid="{00000000-0010-0000-0400-00000A000000}" name="Capacity margin kWt"/>
    <tableColumn id="11" xr3:uid="{00000000-0010-0000-0400-00000B000000}" name="Resul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03B56"/>
  </sheetPr>
  <dimension ref="A1:M46"/>
  <sheetViews>
    <sheetView showGridLines="0" workbookViewId="0"/>
  </sheetViews>
  <sheetFormatPr defaultRowHeight="13.8"/>
  <cols>
    <col min="1" max="1" width="32" customWidth="1"/>
    <col min="2" max="3" width="19" customWidth="1"/>
    <col min="4" max="4" width="20" customWidth="1"/>
    <col min="5" max="7" width="18" customWidth="1"/>
    <col min="8" max="13" width="13" customWidth="1"/>
  </cols>
  <sheetData>
    <row r="1" spans="1:13" ht="22.9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2.95" customHeight="1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22.9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22.95" customHeight="1">
      <c r="A4" s="4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22.9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57" customHeight="1">
      <c r="A6" s="5" t="s">
        <v>2</v>
      </c>
      <c r="B6" s="5" t="s">
        <v>3</v>
      </c>
      <c r="C6" s="5" t="s">
        <v>4</v>
      </c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22.95" customHeight="1">
      <c r="A7" s="1" t="s">
        <v>5</v>
      </c>
      <c r="B7" s="7">
        <f>COUNTA(Buildings!A7:A26)</f>
        <v>20</v>
      </c>
      <c r="C7" s="1" t="s">
        <v>6</v>
      </c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22.95" customHeight="1">
      <c r="A8" s="6" t="s">
        <v>7</v>
      </c>
      <c r="B8" s="22">
        <f>CAPEX!S28</f>
        <v>21907737.600000001</v>
      </c>
      <c r="C8" s="6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ht="22.95" customHeight="1">
      <c r="A9" s="1" t="s">
        <v>9</v>
      </c>
      <c r="B9" s="21">
        <f>Energy!AB28</f>
        <v>6771180</v>
      </c>
      <c r="C9" s="1" t="s">
        <v>10</v>
      </c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ht="22.95" customHeight="1">
      <c r="A10" s="6" t="s">
        <v>11</v>
      </c>
      <c r="B10" s="22">
        <f>Energy!AC28</f>
        <v>6447576.8368266299</v>
      </c>
      <c r="C10" s="6" t="s">
        <v>10</v>
      </c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22.95" customHeight="1">
      <c r="A11" s="1" t="s">
        <v>12</v>
      </c>
      <c r="B11" s="21">
        <f>Energy!AD28</f>
        <v>323603.16317337099</v>
      </c>
      <c r="C11" s="1" t="s">
        <v>10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ht="22.95" customHeight="1">
      <c r="A12" s="6" t="s">
        <v>13</v>
      </c>
      <c r="B12" s="20">
        <f>Energy!S28</f>
        <v>6502.1620000000012</v>
      </c>
      <c r="C12" s="6" t="s">
        <v>14</v>
      </c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22.95" customHeight="1">
      <c r="A13" s="1" t="s">
        <v>15</v>
      </c>
      <c r="B13" s="19">
        <f>Energy!T28</f>
        <v>3355.5130287670959</v>
      </c>
      <c r="C13" s="1" t="s">
        <v>14</v>
      </c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ht="22.95" customHeight="1">
      <c r="A14" s="6" t="s">
        <v>16</v>
      </c>
      <c r="B14" s="20">
        <f>Energy!U28</f>
        <v>3146.6489712329035</v>
      </c>
      <c r="C14" s="6" t="s">
        <v>14</v>
      </c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t="22.95" customHeight="1">
      <c r="A15" s="1" t="s">
        <v>17</v>
      </c>
      <c r="B15" s="16">
        <f>Energy!V28</f>
        <v>0.4839388762126971</v>
      </c>
      <c r="C15" s="1" t="s">
        <v>18</v>
      </c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ht="22.95" customHeight="1">
      <c r="A16" s="6" t="s">
        <v>19</v>
      </c>
      <c r="B16" s="8">
        <f>CAPEX!F28</f>
        <v>78</v>
      </c>
      <c r="C16" s="6" t="s">
        <v>6</v>
      </c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ht="22.95" customHeight="1">
      <c r="A17" s="1" t="s">
        <v>20</v>
      </c>
      <c r="B17" s="7">
        <f>CAPEX!I28</f>
        <v>3120</v>
      </c>
      <c r="C17" s="1" t="s">
        <v>21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22.95" customHeight="1">
      <c r="A18" s="6" t="s">
        <v>22</v>
      </c>
      <c r="B18" s="8">
        <f>CAPEX!K28</f>
        <v>2080</v>
      </c>
      <c r="C18" s="6" t="s">
        <v>21</v>
      </c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ht="22.95" customHeight="1">
      <c r="A19" s="1" t="s">
        <v>23</v>
      </c>
      <c r="B19" s="23">
        <f>CAPEX!U28</f>
        <v>67.699392630049445</v>
      </c>
      <c r="C19" s="1" t="s">
        <v>24</v>
      </c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22.9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22.9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22.9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57" customHeight="1">
      <c r="A23" s="5" t="s">
        <v>25</v>
      </c>
      <c r="B23" s="5" t="s">
        <v>26</v>
      </c>
      <c r="C23" s="5" t="s">
        <v>27</v>
      </c>
      <c r="D23" s="5" t="s">
        <v>28</v>
      </c>
      <c r="E23" s="5" t="s">
        <v>29</v>
      </c>
      <c r="F23" s="5" t="s">
        <v>30</v>
      </c>
      <c r="G23" s="5" t="s">
        <v>31</v>
      </c>
      <c r="H23" s="1"/>
      <c r="I23" s="1"/>
      <c r="J23" s="1"/>
      <c r="K23" s="1"/>
      <c r="L23" s="1"/>
      <c r="M23" s="1"/>
    </row>
    <row r="24" spans="1:13" ht="22.95" customHeight="1">
      <c r="A24" s="1" t="s">
        <v>32</v>
      </c>
      <c r="B24" s="21">
        <f>SUMIFS(CAPEX!$S$7:$S$26,CAPEX!$C$7:$C$26,$A24)</f>
        <v>4932614.4000000004</v>
      </c>
      <c r="C24" s="21">
        <f>SUMIFS(Energy!$AD$7:$AD$26,Energy!$C$7:$C$26,$A24)</f>
        <v>57551.298302045485</v>
      </c>
      <c r="D24" s="19">
        <f>SUMIFS(Energy!$U$7:$U$26,Energy!$C$7:$C$26,$A24)</f>
        <v>679.8043208716274</v>
      </c>
      <c r="E24" s="7">
        <f>SUMIFS(CAPEX!$F$7:$F$26,CAPEX!$C$7:$C$26,$A24)</f>
        <v>19</v>
      </c>
      <c r="F24" s="7">
        <f>SUMIFS(CAPEX!$I$7:$I$26,CAPEX!$C$7:$C$26,$A24)</f>
        <v>760</v>
      </c>
      <c r="G24" s="7">
        <f>SUMIFS(CAPEX!$K$7:$K$26,CAPEX!$C$7:$C$26,$A24)</f>
        <v>500</v>
      </c>
      <c r="H24" s="1"/>
      <c r="I24" s="1"/>
      <c r="J24" s="1"/>
      <c r="K24" s="1"/>
      <c r="L24" s="1"/>
      <c r="M24" s="1"/>
    </row>
    <row r="25" spans="1:13" ht="22.95" customHeight="1">
      <c r="A25" s="1" t="s">
        <v>33</v>
      </c>
      <c r="B25" s="21">
        <f>SUMIFS(CAPEX!$S$7:$S$26,CAPEX!$C$7:$C$26,$A25)</f>
        <v>6210355.1999999993</v>
      </c>
      <c r="C25" s="21">
        <f>SUMIFS(Energy!$AD$7:$AD$26,Energy!$C$7:$C$26,$A25)</f>
        <v>90701.045740800895</v>
      </c>
      <c r="D25" s="19">
        <f>SUMIFS(Energy!$U$7:$U$26,Energy!$C$7:$C$26,$A25)</f>
        <v>911.73249086175144</v>
      </c>
      <c r="E25" s="7">
        <f>SUMIFS(CAPEX!$F$7:$F$26,CAPEX!$C$7:$C$26,$A25)</f>
        <v>22</v>
      </c>
      <c r="F25" s="7">
        <f>SUMIFS(CAPEX!$I$7:$I$26,CAPEX!$C$7:$C$26,$A25)</f>
        <v>880</v>
      </c>
      <c r="G25" s="7">
        <f>SUMIFS(CAPEX!$K$7:$K$26,CAPEX!$C$7:$C$26,$A25)</f>
        <v>620</v>
      </c>
      <c r="H25" s="1"/>
      <c r="I25" s="1"/>
      <c r="J25" s="1"/>
      <c r="K25" s="1"/>
      <c r="L25" s="1"/>
      <c r="M25" s="1"/>
    </row>
    <row r="26" spans="1:13" ht="22.95" customHeight="1">
      <c r="A26" s="1" t="s">
        <v>34</v>
      </c>
      <c r="B26" s="21">
        <f>SUMIFS(CAPEX!$S$7:$S$26,CAPEX!$C$7:$C$26,$A26)</f>
        <v>4997395.2</v>
      </c>
      <c r="C26" s="21">
        <f>SUMIFS(Energy!$AD$7:$AD$26,Energy!$C$7:$C$26,$A26)</f>
        <v>85382.431077790447</v>
      </c>
      <c r="D26" s="19">
        <f>SUMIFS(Energy!$U$7:$U$26,Energy!$C$7:$C$26,$A26)</f>
        <v>753.78470201528933</v>
      </c>
      <c r="E26" s="7">
        <f>SUMIFS(CAPEX!$F$7:$F$26,CAPEX!$C$7:$C$26,$A26)</f>
        <v>17</v>
      </c>
      <c r="F26" s="7">
        <f>SUMIFS(CAPEX!$I$7:$I$26,CAPEX!$C$7:$C$26,$A26)</f>
        <v>680</v>
      </c>
      <c r="G26" s="7">
        <f>SUMIFS(CAPEX!$K$7:$K$26,CAPEX!$C$7:$C$26,$A26)</f>
        <v>420</v>
      </c>
      <c r="H26" s="1"/>
      <c r="I26" s="1"/>
      <c r="J26" s="1"/>
      <c r="K26" s="1"/>
      <c r="L26" s="1"/>
      <c r="M26" s="1"/>
    </row>
    <row r="27" spans="1:13" ht="22.95" customHeight="1">
      <c r="A27" s="1" t="s">
        <v>35</v>
      </c>
      <c r="B27" s="21">
        <f>SUMIFS(CAPEX!$S$7:$S$26,CAPEX!$C$7:$C$26,$A27)</f>
        <v>5767372.7999999998</v>
      </c>
      <c r="C27" s="21">
        <f>SUMIFS(Energy!$AD$7:$AD$26,Energy!$C$7:$C$26,$A27)</f>
        <v>89968.388052734139</v>
      </c>
      <c r="D27" s="19">
        <f>SUMIFS(Energy!$U$7:$U$26,Energy!$C$7:$C$26,$A27)</f>
        <v>801.32745748423531</v>
      </c>
      <c r="E27" s="7">
        <f>SUMIFS(CAPEX!$F$7:$F$26,CAPEX!$C$7:$C$26,$A27)</f>
        <v>20</v>
      </c>
      <c r="F27" s="7">
        <f>SUMIFS(CAPEX!$I$7:$I$26,CAPEX!$C$7:$C$26,$A27)</f>
        <v>800</v>
      </c>
      <c r="G27" s="7">
        <f>SUMIFS(CAPEX!$K$7:$K$26,CAPEX!$C$7:$C$26,$A27)</f>
        <v>540</v>
      </c>
      <c r="H27" s="1"/>
      <c r="I27" s="1"/>
      <c r="J27" s="1"/>
      <c r="K27" s="1"/>
      <c r="L27" s="1"/>
      <c r="M27" s="1"/>
    </row>
    <row r="28" spans="1:13" ht="22.9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22.9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22.95" customHeight="1">
      <c r="A30" s="1" t="s">
        <v>36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57" customHeight="1">
      <c r="A31" s="5" t="s">
        <v>37</v>
      </c>
      <c r="B31" s="5" t="s">
        <v>38</v>
      </c>
      <c r="C31" s="5" t="s">
        <v>39</v>
      </c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22.95" customHeight="1">
      <c r="A32" s="1" t="s">
        <v>40</v>
      </c>
      <c r="B32" s="7">
        <f>Energy!G28</f>
        <v>15921600</v>
      </c>
      <c r="C32" s="7">
        <f>Energy!I28</f>
        <v>13009760</v>
      </c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22.95" customHeight="1">
      <c r="A33" s="1" t="s">
        <v>41</v>
      </c>
      <c r="B33" s="7">
        <f>Energy!D28</f>
        <v>19000000</v>
      </c>
      <c r="C33" s="7">
        <v>0</v>
      </c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22.95" customHeight="1">
      <c r="A34" s="1" t="s">
        <v>42</v>
      </c>
      <c r="B34" s="7">
        <f>Energy!E28</f>
        <v>23200000</v>
      </c>
      <c r="C34" s="7">
        <f>Energy!P28</f>
        <v>25622426.914837327</v>
      </c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22.95" customHeight="1">
      <c r="A35" s="1" t="s">
        <v>43</v>
      </c>
      <c r="B35" s="7">
        <v>0</v>
      </c>
      <c r="C35" s="7">
        <f>Energy!K28</f>
        <v>4069651.9148373278</v>
      </c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22.95" customHeight="1">
      <c r="A36" s="1" t="s">
        <v>44</v>
      </c>
      <c r="B36" s="7">
        <v>0</v>
      </c>
      <c r="C36" s="7">
        <f>Energy!N28</f>
        <v>1647225</v>
      </c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22.9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t="22.9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ht="22.95" customHeight="1">
      <c r="A39" s="1" t="s">
        <v>45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ht="22.95" customHeight="1">
      <c r="A40" s="1" t="s">
        <v>46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22.95" customHeight="1">
      <c r="A41" s="1" t="s">
        <v>47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22.95" customHeight="1">
      <c r="A42" s="1" t="s">
        <v>48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22.95" customHeight="1">
      <c r="A43" s="1" t="s">
        <v>49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t="22.9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22.9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ht="22.9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</sheetData>
  <conditionalFormatting sqref="B11">
    <cfRule type="cellIs" dxfId="7" priority="1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56B99"/>
  </sheetPr>
  <dimension ref="A1:F35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C7" sqref="C7"/>
    </sheetView>
  </sheetViews>
  <sheetFormatPr defaultRowHeight="13.8"/>
  <cols>
    <col min="1" max="1" width="30" customWidth="1"/>
    <col min="2" max="2" width="17" customWidth="1"/>
    <col min="3" max="3" width="23" customWidth="1"/>
    <col min="4" max="4" width="42" customWidth="1"/>
    <col min="5" max="5" width="17" customWidth="1"/>
    <col min="6" max="6" width="78" customWidth="1"/>
  </cols>
  <sheetData>
    <row r="1" spans="1:6" ht="22.95" customHeight="1">
      <c r="A1" s="1"/>
      <c r="B1" s="1"/>
      <c r="C1" s="1"/>
      <c r="D1" s="1"/>
      <c r="E1" s="1"/>
      <c r="F1" s="1"/>
    </row>
    <row r="2" spans="1:6" ht="22.95" customHeight="1">
      <c r="A2" s="2" t="s">
        <v>50</v>
      </c>
      <c r="B2" s="1"/>
      <c r="C2" s="1"/>
      <c r="D2" s="1"/>
      <c r="E2" s="1"/>
      <c r="F2" s="1"/>
    </row>
    <row r="3" spans="1:6" ht="22.95" customHeight="1">
      <c r="A3" s="3"/>
      <c r="B3" s="3"/>
      <c r="C3" s="3"/>
      <c r="D3" s="3"/>
      <c r="E3" s="3"/>
      <c r="F3" s="3"/>
    </row>
    <row r="4" spans="1:6" ht="22.95" customHeight="1">
      <c r="A4" s="4" t="s">
        <v>51</v>
      </c>
      <c r="B4" s="1"/>
      <c r="C4" s="1"/>
      <c r="D4" s="1"/>
      <c r="E4" s="1"/>
      <c r="F4" s="1"/>
    </row>
    <row r="5" spans="1:6" ht="22.95" customHeight="1">
      <c r="A5" s="1"/>
      <c r="B5" s="1"/>
      <c r="C5" s="1"/>
      <c r="D5" s="1"/>
      <c r="E5" s="1"/>
      <c r="F5" s="1"/>
    </row>
    <row r="6" spans="1:6" ht="57" customHeight="1">
      <c r="A6" s="5" t="s">
        <v>52</v>
      </c>
      <c r="B6" s="5" t="s">
        <v>3</v>
      </c>
      <c r="C6" s="5" t="s">
        <v>4</v>
      </c>
      <c r="D6" s="5" t="s">
        <v>53</v>
      </c>
      <c r="E6" s="5" t="s">
        <v>54</v>
      </c>
      <c r="F6" s="5" t="s">
        <v>55</v>
      </c>
    </row>
    <row r="7" spans="1:6" ht="22.95" customHeight="1">
      <c r="A7" s="1" t="s">
        <v>56</v>
      </c>
      <c r="B7" s="12">
        <v>24.51</v>
      </c>
      <c r="C7" s="1" t="s">
        <v>57</v>
      </c>
      <c r="D7" s="1" t="s">
        <v>58</v>
      </c>
      <c r="E7" s="1" t="s">
        <v>59</v>
      </c>
      <c r="F7" s="1" t="s">
        <v>60</v>
      </c>
    </row>
    <row r="8" spans="1:6" ht="22.95" customHeight="1">
      <c r="A8" s="1" t="s">
        <v>61</v>
      </c>
      <c r="B8" s="12">
        <v>5.28</v>
      </c>
      <c r="C8" s="1" t="s">
        <v>62</v>
      </c>
      <c r="D8" s="1" t="s">
        <v>58</v>
      </c>
      <c r="E8" s="1" t="s">
        <v>59</v>
      </c>
      <c r="F8" s="1" t="s">
        <v>63</v>
      </c>
    </row>
    <row r="9" spans="1:6" ht="22.95" customHeight="1">
      <c r="A9" s="1" t="s">
        <v>64</v>
      </c>
      <c r="B9" s="13">
        <v>0.18231</v>
      </c>
      <c r="C9" s="1" t="s">
        <v>65</v>
      </c>
      <c r="D9" s="1" t="s">
        <v>66</v>
      </c>
      <c r="E9" s="1" t="s">
        <v>67</v>
      </c>
      <c r="F9" s="1" t="s">
        <v>68</v>
      </c>
    </row>
    <row r="10" spans="1:6" ht="22.95" customHeight="1">
      <c r="A10" s="1" t="s">
        <v>69</v>
      </c>
      <c r="B10" s="13">
        <v>0.13095999999999999</v>
      </c>
      <c r="C10" s="1" t="s">
        <v>70</v>
      </c>
      <c r="D10" s="1" t="s">
        <v>71</v>
      </c>
      <c r="E10" s="1" t="s">
        <v>67</v>
      </c>
      <c r="F10" s="1" t="s">
        <v>72</v>
      </c>
    </row>
    <row r="11" spans="1:6" ht="22.95" customHeight="1">
      <c r="A11" s="1" t="s">
        <v>73</v>
      </c>
      <c r="B11" s="14">
        <v>900</v>
      </c>
      <c r="C11" s="1" t="s">
        <v>74</v>
      </c>
      <c r="D11" s="1" t="s">
        <v>75</v>
      </c>
      <c r="E11" s="1" t="s">
        <v>76</v>
      </c>
      <c r="F11" s="1" t="s">
        <v>77</v>
      </c>
    </row>
    <row r="12" spans="1:6" ht="22.95" customHeight="1">
      <c r="A12" s="1" t="s">
        <v>78</v>
      </c>
      <c r="B12" s="14">
        <v>1</v>
      </c>
      <c r="C12" s="1" t="s">
        <v>79</v>
      </c>
      <c r="D12" s="1" t="s">
        <v>75</v>
      </c>
      <c r="E12" s="1" t="s">
        <v>76</v>
      </c>
      <c r="F12" s="1" t="s">
        <v>80</v>
      </c>
    </row>
    <row r="13" spans="1:6" ht="22.95" customHeight="1">
      <c r="A13" s="1" t="s">
        <v>81</v>
      </c>
      <c r="B13" s="14">
        <v>100</v>
      </c>
      <c r="C13" s="1" t="s">
        <v>82</v>
      </c>
      <c r="D13" s="1" t="s">
        <v>75</v>
      </c>
      <c r="E13" s="1" t="s">
        <v>76</v>
      </c>
      <c r="F13" s="1" t="s">
        <v>83</v>
      </c>
    </row>
    <row r="14" spans="1:6" ht="22.95" customHeight="1">
      <c r="A14" s="1" t="s">
        <v>84</v>
      </c>
      <c r="B14" s="14">
        <v>2.5</v>
      </c>
      <c r="C14" s="1" t="s">
        <v>85</v>
      </c>
      <c r="D14" s="1" t="s">
        <v>75</v>
      </c>
      <c r="E14" s="1" t="s">
        <v>76</v>
      </c>
      <c r="F14" s="1" t="s">
        <v>86</v>
      </c>
    </row>
    <row r="15" spans="1:6" ht="22.95" customHeight="1">
      <c r="A15" s="1" t="s">
        <v>87</v>
      </c>
      <c r="B15" s="14">
        <v>1000</v>
      </c>
      <c r="C15" s="1" t="s">
        <v>88</v>
      </c>
      <c r="D15" s="1" t="s">
        <v>89</v>
      </c>
      <c r="E15" s="1" t="s">
        <v>76</v>
      </c>
      <c r="F15" s="1" t="s">
        <v>90</v>
      </c>
    </row>
    <row r="16" spans="1:6" ht="22.95" customHeight="1">
      <c r="A16" s="1" t="s">
        <v>91</v>
      </c>
      <c r="B16" s="14">
        <v>1100</v>
      </c>
      <c r="C16" s="1" t="s">
        <v>92</v>
      </c>
      <c r="D16" s="1" t="s">
        <v>89</v>
      </c>
      <c r="E16" s="1" t="s">
        <v>76</v>
      </c>
      <c r="F16" s="1" t="s">
        <v>93</v>
      </c>
    </row>
    <row r="17" spans="1:6" ht="22.95" customHeight="1">
      <c r="A17" s="1" t="s">
        <v>94</v>
      </c>
      <c r="B17" s="14">
        <v>160</v>
      </c>
      <c r="C17" s="1" t="s">
        <v>95</v>
      </c>
      <c r="D17" s="1" t="s">
        <v>89</v>
      </c>
      <c r="E17" s="1" t="s">
        <v>76</v>
      </c>
      <c r="F17" s="1" t="s">
        <v>96</v>
      </c>
    </row>
    <row r="18" spans="1:6" ht="22.95" customHeight="1">
      <c r="A18" s="1" t="s">
        <v>97</v>
      </c>
      <c r="B18" s="14">
        <v>450</v>
      </c>
      <c r="C18" s="1" t="s">
        <v>98</v>
      </c>
      <c r="D18" s="1" t="s">
        <v>89</v>
      </c>
      <c r="E18" s="1" t="s">
        <v>76</v>
      </c>
      <c r="F18" s="1" t="s">
        <v>99</v>
      </c>
    </row>
    <row r="19" spans="1:6" ht="22.95" customHeight="1">
      <c r="A19" s="1" t="s">
        <v>100</v>
      </c>
      <c r="B19" s="11">
        <v>0.12</v>
      </c>
      <c r="C19" s="1" t="s">
        <v>101</v>
      </c>
      <c r="D19" s="1" t="s">
        <v>89</v>
      </c>
      <c r="E19" s="1" t="s">
        <v>76</v>
      </c>
      <c r="F19" s="1" t="s">
        <v>102</v>
      </c>
    </row>
    <row r="20" spans="1:6" ht="22.95" customHeight="1">
      <c r="A20" s="1" t="s">
        <v>103</v>
      </c>
      <c r="B20" s="11">
        <v>0.2</v>
      </c>
      <c r="C20" s="1" t="s">
        <v>104</v>
      </c>
      <c r="D20" s="1" t="s">
        <v>89</v>
      </c>
      <c r="E20" s="1" t="s">
        <v>76</v>
      </c>
      <c r="F20" s="1" t="s">
        <v>105</v>
      </c>
    </row>
    <row r="21" spans="1:6" ht="22.95" customHeight="1">
      <c r="A21" s="1" t="s">
        <v>106</v>
      </c>
      <c r="B21" s="12">
        <v>10</v>
      </c>
      <c r="C21" s="1" t="s">
        <v>107</v>
      </c>
      <c r="D21" s="1" t="s">
        <v>89</v>
      </c>
      <c r="E21" s="1" t="s">
        <v>76</v>
      </c>
      <c r="F21" s="1" t="s">
        <v>108</v>
      </c>
    </row>
    <row r="22" spans="1:6" ht="22.95" customHeight="1">
      <c r="A22" s="1" t="s">
        <v>109</v>
      </c>
      <c r="B22" s="12">
        <v>18</v>
      </c>
      <c r="C22" s="1" t="s">
        <v>110</v>
      </c>
      <c r="D22" s="1" t="s">
        <v>89</v>
      </c>
      <c r="E22" s="1" t="s">
        <v>76</v>
      </c>
      <c r="F22" s="1" t="s">
        <v>111</v>
      </c>
    </row>
    <row r="23" spans="1:6" ht="22.95" customHeight="1">
      <c r="A23" s="1" t="s">
        <v>112</v>
      </c>
      <c r="B23" s="12">
        <v>12</v>
      </c>
      <c r="C23" s="1" t="s">
        <v>113</v>
      </c>
      <c r="D23" s="1" t="s">
        <v>89</v>
      </c>
      <c r="E23" s="1" t="s">
        <v>76</v>
      </c>
      <c r="F23" s="1" t="s">
        <v>114</v>
      </c>
    </row>
    <row r="24" spans="1:6" ht="22.95" customHeight="1">
      <c r="A24" s="1" t="s">
        <v>115</v>
      </c>
      <c r="B24" s="15">
        <f>B7/B8</f>
        <v>4.642045454545455</v>
      </c>
      <c r="C24" s="1" t="s">
        <v>116</v>
      </c>
      <c r="D24" s="1" t="s">
        <v>117</v>
      </c>
      <c r="E24" s="1" t="s">
        <v>59</v>
      </c>
      <c r="F24" s="1" t="s">
        <v>118</v>
      </c>
    </row>
    <row r="25" spans="1:6" ht="22.95" customHeight="1">
      <c r="A25" s="1"/>
      <c r="B25" s="1"/>
      <c r="C25" s="1"/>
      <c r="D25" s="1"/>
      <c r="E25" s="1"/>
      <c r="F25" s="1"/>
    </row>
    <row r="26" spans="1:6" ht="22.95" customHeight="1">
      <c r="A26" s="1"/>
      <c r="B26" s="1"/>
      <c r="C26" s="1"/>
      <c r="D26" s="1"/>
      <c r="E26" s="1"/>
      <c r="F26" s="1"/>
    </row>
    <row r="27" spans="1:6" ht="22.95" customHeight="1">
      <c r="A27" s="1" t="s">
        <v>119</v>
      </c>
      <c r="B27" s="1"/>
      <c r="C27" s="1"/>
      <c r="D27" s="1"/>
      <c r="E27" s="1"/>
      <c r="F27" s="1"/>
    </row>
    <row r="28" spans="1:6" ht="22.95" customHeight="1">
      <c r="A28" s="1" t="s">
        <v>120</v>
      </c>
      <c r="B28" s="1"/>
      <c r="C28" s="1"/>
      <c r="D28" s="1"/>
      <c r="E28" s="1"/>
      <c r="F28" s="1"/>
    </row>
    <row r="29" spans="1:6" ht="22.95" customHeight="1">
      <c r="A29" s="1" t="s">
        <v>121</v>
      </c>
      <c r="B29" s="1"/>
      <c r="C29" s="1"/>
      <c r="D29" s="1"/>
      <c r="E29" s="1"/>
      <c r="F29" s="1"/>
    </row>
    <row r="30" spans="1:6" ht="22.95" customHeight="1">
      <c r="A30" s="1"/>
      <c r="B30" s="1"/>
      <c r="C30" s="1"/>
      <c r="D30" s="1"/>
      <c r="E30" s="1"/>
      <c r="F30" s="1"/>
    </row>
    <row r="31" spans="1:6" ht="22.95" customHeight="1">
      <c r="A31" s="1" t="s">
        <v>122</v>
      </c>
      <c r="B31" s="1"/>
      <c r="C31" s="1"/>
      <c r="D31" s="1"/>
      <c r="E31" s="1"/>
      <c r="F31" s="1"/>
    </row>
    <row r="32" spans="1:6" ht="22.95" customHeight="1">
      <c r="A32" s="1"/>
      <c r="B32" s="1"/>
      <c r="C32" s="1"/>
      <c r="D32" s="1"/>
      <c r="E32" s="1"/>
      <c r="F32" s="1"/>
    </row>
    <row r="33" spans="1:6" ht="22.95" customHeight="1">
      <c r="A33" s="1"/>
      <c r="B33" s="1"/>
      <c r="C33" s="1"/>
      <c r="D33" s="1"/>
      <c r="E33" s="1"/>
      <c r="F33" s="1"/>
    </row>
    <row r="34" spans="1:6" ht="22.95" customHeight="1">
      <c r="A34" s="1"/>
      <c r="B34" s="1"/>
      <c r="C34" s="1"/>
      <c r="D34" s="1"/>
      <c r="E34" s="1"/>
      <c r="F34" s="1"/>
    </row>
    <row r="35" spans="1:6" ht="22.95" customHeight="1">
      <c r="A35" s="1"/>
      <c r="B35" s="1"/>
      <c r="C35" s="1"/>
      <c r="D35" s="1"/>
      <c r="E35" s="1"/>
      <c r="F35" s="1"/>
    </row>
  </sheetData>
  <dataValidations count="3">
    <dataValidation type="decimal" operator="greaterThan" sqref="B7:B18" xr:uid="{00000000-0002-0000-0100-000000000000}">
      <formula1>0</formula1>
    </dataValidation>
    <dataValidation type="decimal" sqref="B19:B20" xr:uid="{00000000-0002-0000-0100-000001000000}">
      <formula1>0</formula1>
      <formula2>1</formula2>
    </dataValidation>
    <dataValidation type="decimal" operator="greaterThanOrEqual" sqref="B21:B23" xr:uid="{00000000-0002-0000-0100-000002000000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32"/>
  <sheetViews>
    <sheetView showGridLines="0" workbookViewId="0">
      <pane xSplit="2" ySplit="6" topLeftCell="C28" activePane="bottomRight" state="frozen"/>
      <selection pane="topRight"/>
      <selection pane="bottomLeft"/>
      <selection pane="bottomRight" activeCell="C7" sqref="C7"/>
    </sheetView>
  </sheetViews>
  <sheetFormatPr defaultRowHeight="13.8"/>
  <cols>
    <col min="1" max="1" width="17" customWidth="1"/>
    <col min="2" max="2" width="29" customWidth="1"/>
    <col min="3" max="30" width="17" customWidth="1"/>
  </cols>
  <sheetData>
    <row r="1" spans="1:30" ht="22.9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22.95" customHeight="1">
      <c r="A2" s="2" t="s">
        <v>123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22.9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 ht="22.95" customHeight="1">
      <c r="A4" s="4" t="s">
        <v>124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2.9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ht="57" customHeight="1">
      <c r="A6" s="5" t="s">
        <v>125</v>
      </c>
      <c r="B6" s="5" t="s">
        <v>126</v>
      </c>
      <c r="C6" s="5" t="s">
        <v>25</v>
      </c>
      <c r="D6" s="5" t="s">
        <v>127</v>
      </c>
      <c r="E6" s="5" t="s">
        <v>128</v>
      </c>
      <c r="F6" s="5" t="s">
        <v>129</v>
      </c>
      <c r="G6" s="5" t="s">
        <v>130</v>
      </c>
      <c r="H6" s="5" t="s">
        <v>131</v>
      </c>
      <c r="I6" s="5" t="s">
        <v>132</v>
      </c>
      <c r="J6" s="5" t="s">
        <v>133</v>
      </c>
      <c r="K6" s="5" t="s">
        <v>134</v>
      </c>
      <c r="L6" s="5" t="s">
        <v>135</v>
      </c>
      <c r="M6" s="5" t="s">
        <v>136</v>
      </c>
      <c r="N6" s="5" t="s">
        <v>137</v>
      </c>
      <c r="O6" s="5" t="s">
        <v>138</v>
      </c>
      <c r="P6" s="5" t="s">
        <v>139</v>
      </c>
      <c r="Q6" s="5" t="s">
        <v>140</v>
      </c>
      <c r="R6" s="5" t="s">
        <v>141</v>
      </c>
      <c r="S6" s="5" t="s">
        <v>142</v>
      </c>
      <c r="T6" s="5" t="s">
        <v>143</v>
      </c>
      <c r="U6" s="5" t="s">
        <v>144</v>
      </c>
      <c r="V6" s="5" t="s">
        <v>17</v>
      </c>
      <c r="W6" s="5" t="s">
        <v>145</v>
      </c>
      <c r="X6" s="5" t="s">
        <v>146</v>
      </c>
      <c r="Y6" s="5" t="s">
        <v>147</v>
      </c>
      <c r="Z6" s="5" t="s">
        <v>148</v>
      </c>
      <c r="AA6" s="5" t="s">
        <v>149</v>
      </c>
      <c r="AB6" s="5" t="s">
        <v>150</v>
      </c>
      <c r="AC6" s="5" t="s">
        <v>151</v>
      </c>
      <c r="AD6" s="5" t="s">
        <v>27</v>
      </c>
    </row>
    <row r="7" spans="1:30" ht="22.95" customHeight="1">
      <c r="A7" s="1" t="s">
        <v>152</v>
      </c>
      <c r="B7" s="1" t="str">
        <f>INDEX(Buildings!$B$7:$B$26,MATCH($A7,Buildings!$A$7:$A$26,0))</f>
        <v>Alder Library</v>
      </c>
      <c r="C7" s="7" t="str">
        <f>INDEX(Buildings!$C$7:$C$26,MATCH($A7,Buildings!$A$7:$A$26,0))</f>
        <v>North</v>
      </c>
      <c r="D7" s="7">
        <f>IF(ISNUMBER(INDEX(Buildings!$F$7:$F$26,MATCH($A7,Buildings!$A$7:$A$26,0))),INDEX(Buildings!$F$7:$F$26,MATCH($A7,Buildings!$A$7:$A$26,0)),NA())</f>
        <v>620000</v>
      </c>
      <c r="E7" s="7">
        <f>IF(ISNUMBER(INDEX(Buildings!$G$7:$G$26,MATCH($A7,Buildings!$A$7:$A$26,0))),INDEX(Buildings!$G$7:$G$26,MATCH($A7,Buildings!$A$7:$A$26,0)),NA())</f>
        <v>490000</v>
      </c>
      <c r="F7" s="16">
        <f>IF(INDEX(Buildings!$H$7:$H$26,MATCH($A7,Buildings!$A$7:$A$26,0))&gt;0,INDEX(Buildings!$H$7:$H$26,MATCH($A7,Buildings!$A$7:$A$26,0)),NA())</f>
        <v>0.82</v>
      </c>
      <c r="G7" s="7">
        <f t="shared" ref="G7:G26" si="0">D7*F7</f>
        <v>508399.99999999994</v>
      </c>
      <c r="H7" s="16">
        <f>INDEX(Buildings!$I$7:$I$26,MATCH($A7,Buildings!$A$7:$A$26,0))</f>
        <v>0.18</v>
      </c>
      <c r="I7" s="7">
        <f t="shared" ref="I7:I26" si="1">G7*(1-H7)</f>
        <v>416888</v>
      </c>
      <c r="J7" s="15">
        <f>INDEX(Buildings!$L$7:$L$26,MATCH($A7,Buildings!$A$7:$A$26,0))*Assumptions!$B$12</f>
        <v>3.3</v>
      </c>
      <c r="K7" s="7">
        <f t="shared" ref="K7:K26" si="2">I7/J7</f>
        <v>126329.69696969698</v>
      </c>
      <c r="L7" s="7">
        <f>INDEX(Buildings!$M$7:$M$26,MATCH($A7,Buildings!$A$7:$A$26,0))</f>
        <v>90</v>
      </c>
      <c r="M7" s="7">
        <f>L7*Assumptions!$B$11</f>
        <v>81000</v>
      </c>
      <c r="N7" s="7">
        <f>MIN(M7*INDEX(Buildings!$N$7:$N$26,MATCH($A7,Buildings!$A$7:$A$26,0)),E7+K7)</f>
        <v>64800</v>
      </c>
      <c r="O7" s="7">
        <f t="shared" ref="O7:O26" si="3">M7-N7</f>
        <v>16200</v>
      </c>
      <c r="P7" s="7">
        <f t="shared" ref="P7:P26" si="4">E7+K7-N7</f>
        <v>551529.69696969702</v>
      </c>
      <c r="Q7" s="19">
        <f>D7*Assumptions!$B$9/1000</f>
        <v>113.0322</v>
      </c>
      <c r="R7" s="19">
        <f>E7*Assumptions!$B$10/1000</f>
        <v>64.170400000000001</v>
      </c>
      <c r="S7" s="19">
        <f t="shared" ref="S7:S26" si="5">Q7+R7</f>
        <v>177.20260000000002</v>
      </c>
      <c r="T7" s="19">
        <f>P7*Assumptions!$B$10/1000</f>
        <v>72.22832911515151</v>
      </c>
      <c r="U7" s="19">
        <f t="shared" ref="U7:U26" si="6">S7-T7</f>
        <v>104.97427088484851</v>
      </c>
      <c r="V7" s="16">
        <f t="shared" ref="V7:V26" si="7">IF(S7=0,0,U7/S7)</f>
        <v>0.59239689984711563</v>
      </c>
      <c r="W7" s="21">
        <f>(D7*Assumptions!$B$8+E7*Assumptions!$B$7)/100</f>
        <v>152835</v>
      </c>
      <c r="X7" s="21">
        <f>P7*Assumptions!$B$7/100</f>
        <v>135179.92872727275</v>
      </c>
      <c r="Y7" s="21">
        <f t="shared" ref="Y7:Y26" si="8">W7-X7</f>
        <v>17655.071272727248</v>
      </c>
      <c r="Z7" s="21">
        <f>INDEX(Buildings!$J$7:$J$26,MATCH($A7,Buildings!$A$7:$A$26,0))*Assumptions!$B$21</f>
        <v>3150</v>
      </c>
      <c r="AA7" s="21">
        <f>INDEX(CAPEX!$G$7:$G$26,MATCH($A7,CAPEX!$A$7:$A$26,0))*Assumptions!$B$22+L7*Assumptions!$B$23</f>
        <v>6480</v>
      </c>
      <c r="AB7" s="21">
        <f t="shared" ref="AB7:AB26" si="9">W7+Z7</f>
        <v>155985</v>
      </c>
      <c r="AC7" s="21">
        <f t="shared" ref="AC7:AC26" si="10">X7+AA7</f>
        <v>141659.92872727275</v>
      </c>
      <c r="AD7" s="21">
        <f t="shared" ref="AD7:AD26" si="11">AB7-AC7</f>
        <v>14325.071272727248</v>
      </c>
    </row>
    <row r="8" spans="1:30" ht="22.95" customHeight="1">
      <c r="A8" s="6" t="s">
        <v>153</v>
      </c>
      <c r="B8" s="6" t="str">
        <f>INDEX(Buildings!$B$7:$B$26,MATCH($A8,Buildings!$A$7:$A$26,0))</f>
        <v>Birch Teaching Centre</v>
      </c>
      <c r="C8" s="8" t="str">
        <f>INDEX(Buildings!$C$7:$C$26,MATCH($A8,Buildings!$A$7:$A$26,0))</f>
        <v>North</v>
      </c>
      <c r="D8" s="8">
        <f>IF(ISNUMBER(INDEX(Buildings!$F$7:$F$26,MATCH($A8,Buildings!$A$7:$A$26,0))),INDEX(Buildings!$F$7:$F$26,MATCH($A8,Buildings!$A$7:$A$26,0)),NA())</f>
        <v>510000</v>
      </c>
      <c r="E8" s="8">
        <f>IF(ISNUMBER(INDEX(Buildings!$G$7:$G$26,MATCH($A8,Buildings!$A$7:$A$26,0))),INDEX(Buildings!$G$7:$G$26,MATCH($A8,Buildings!$A$7:$A$26,0)),NA())</f>
        <v>320000</v>
      </c>
      <c r="F8" s="17">
        <f>IF(INDEX(Buildings!$H$7:$H$26,MATCH($A8,Buildings!$A$7:$A$26,0))&gt;0,INDEX(Buildings!$H$7:$H$26,MATCH($A8,Buildings!$A$7:$A$26,0)),NA())</f>
        <v>0.86</v>
      </c>
      <c r="G8" s="8">
        <f t="shared" si="0"/>
        <v>438600</v>
      </c>
      <c r="H8" s="17">
        <f>INDEX(Buildings!$I$7:$I$26,MATCH($A8,Buildings!$A$7:$A$26,0))</f>
        <v>0.22</v>
      </c>
      <c r="I8" s="8">
        <f t="shared" si="1"/>
        <v>342108</v>
      </c>
      <c r="J8" s="18">
        <f>INDEX(Buildings!$L$7:$L$26,MATCH($A8,Buildings!$A$7:$A$26,0))*Assumptions!$B$12</f>
        <v>3.4</v>
      </c>
      <c r="K8" s="8">
        <f t="shared" si="2"/>
        <v>100620</v>
      </c>
      <c r="L8" s="8">
        <f>INDEX(Buildings!$M$7:$M$26,MATCH($A8,Buildings!$A$7:$A$26,0))</f>
        <v>75</v>
      </c>
      <c r="M8" s="8">
        <f>L8*Assumptions!$B$11</f>
        <v>67500</v>
      </c>
      <c r="N8" s="8">
        <f>MIN(M8*INDEX(Buildings!$N$7:$N$26,MATCH($A8,Buildings!$A$7:$A$26,0)),E8+K8)</f>
        <v>50625</v>
      </c>
      <c r="O8" s="8">
        <f t="shared" si="3"/>
        <v>16875</v>
      </c>
      <c r="P8" s="8">
        <f t="shared" si="4"/>
        <v>369995</v>
      </c>
      <c r="Q8" s="20">
        <f>D8*Assumptions!$B$9/1000</f>
        <v>92.978100000000012</v>
      </c>
      <c r="R8" s="20">
        <f>E8*Assumptions!$B$10/1000</f>
        <v>41.907199999999996</v>
      </c>
      <c r="S8" s="20">
        <f t="shared" si="5"/>
        <v>134.8853</v>
      </c>
      <c r="T8" s="20">
        <f>P8*Assumptions!$B$10/1000</f>
        <v>48.454545199999998</v>
      </c>
      <c r="U8" s="20">
        <f t="shared" si="6"/>
        <v>86.430754800000003</v>
      </c>
      <c r="V8" s="17">
        <f t="shared" si="7"/>
        <v>0.64077223240783099</v>
      </c>
      <c r="W8" s="22">
        <f>(D8*Assumptions!$B$8+E8*Assumptions!$B$7)/100</f>
        <v>105360</v>
      </c>
      <c r="X8" s="22">
        <f>P8*Assumptions!$B$7/100</f>
        <v>90685.774500000014</v>
      </c>
      <c r="Y8" s="22">
        <f t="shared" si="8"/>
        <v>14674.225499999986</v>
      </c>
      <c r="Z8" s="22">
        <f>INDEX(Buildings!$J$7:$J$26,MATCH($A8,Buildings!$A$7:$A$26,0))*Assumptions!$B$21</f>
        <v>2520</v>
      </c>
      <c r="AA8" s="22">
        <f>INDEX(CAPEX!$G$7:$G$26,MATCH($A8,CAPEX!$A$7:$A$26,0))*Assumptions!$B$22+L8*Assumptions!$B$23</f>
        <v>6300</v>
      </c>
      <c r="AB8" s="22">
        <f t="shared" si="9"/>
        <v>107880</v>
      </c>
      <c r="AC8" s="22">
        <f t="shared" si="10"/>
        <v>96985.774500000014</v>
      </c>
      <c r="AD8" s="22">
        <f t="shared" si="11"/>
        <v>10894.225499999986</v>
      </c>
    </row>
    <row r="9" spans="1:30" ht="22.95" customHeight="1">
      <c r="A9" s="1" t="s">
        <v>154</v>
      </c>
      <c r="B9" s="1" t="str">
        <f>INDEX(Buildings!$B$7:$B$26,MATCH($A9,Buildings!$A$7:$A$26,0))</f>
        <v>Cedar Chemistry Lab</v>
      </c>
      <c r="C9" s="7" t="str">
        <f>INDEX(Buildings!$C$7:$C$26,MATCH($A9,Buildings!$A$7:$A$26,0))</f>
        <v>North</v>
      </c>
      <c r="D9" s="7">
        <f>IF(ISNUMBER(INDEX(Buildings!$F$7:$F$26,MATCH($A9,Buildings!$A$7:$A$26,0))),INDEX(Buildings!$F$7:$F$26,MATCH($A9,Buildings!$A$7:$A$26,0)),NA())</f>
        <v>1680000</v>
      </c>
      <c r="E9" s="7">
        <f>IF(ISNUMBER(INDEX(Buildings!$G$7:$G$26,MATCH($A9,Buildings!$A$7:$A$26,0))),INDEX(Buildings!$G$7:$G$26,MATCH($A9,Buildings!$A$7:$A$26,0)),NA())</f>
        <v>2840000</v>
      </c>
      <c r="F9" s="16">
        <f>IF(INDEX(Buildings!$H$7:$H$26,MATCH($A9,Buildings!$A$7:$A$26,0))&gt;0,INDEX(Buildings!$H$7:$H$26,MATCH($A9,Buildings!$A$7:$A$26,0)),NA())</f>
        <v>0.8</v>
      </c>
      <c r="G9" s="7">
        <f t="shared" si="0"/>
        <v>1344000</v>
      </c>
      <c r="H9" s="16">
        <f>INDEX(Buildings!$I$7:$I$26,MATCH($A9,Buildings!$A$7:$A$26,0))</f>
        <v>0.12</v>
      </c>
      <c r="I9" s="7">
        <f t="shared" si="1"/>
        <v>1182720</v>
      </c>
      <c r="J9" s="15">
        <f>INDEX(Buildings!$L$7:$L$26,MATCH($A9,Buildings!$A$7:$A$26,0))*Assumptions!$B$12</f>
        <v>2.9</v>
      </c>
      <c r="K9" s="7">
        <f t="shared" si="2"/>
        <v>407834.4827586207</v>
      </c>
      <c r="L9" s="7">
        <f>INDEX(Buildings!$M$7:$M$26,MATCH($A9,Buildings!$A$7:$A$26,0))</f>
        <v>150</v>
      </c>
      <c r="M9" s="7">
        <f>L9*Assumptions!$B$11</f>
        <v>135000</v>
      </c>
      <c r="N9" s="7">
        <f>MIN(M9*INDEX(Buildings!$N$7:$N$26,MATCH($A9,Buildings!$A$7:$A$26,0)),E9+K9)</f>
        <v>128250</v>
      </c>
      <c r="O9" s="7">
        <f t="shared" si="3"/>
        <v>6750</v>
      </c>
      <c r="P9" s="7">
        <f t="shared" si="4"/>
        <v>3119584.4827586208</v>
      </c>
      <c r="Q9" s="19">
        <f>D9*Assumptions!$B$9/1000</f>
        <v>306.2808</v>
      </c>
      <c r="R9" s="19">
        <f>E9*Assumptions!$B$10/1000</f>
        <v>371.92639999999994</v>
      </c>
      <c r="S9" s="19">
        <f t="shared" si="5"/>
        <v>678.20719999999994</v>
      </c>
      <c r="T9" s="19">
        <f>P9*Assumptions!$B$10/1000</f>
        <v>408.54078386206896</v>
      </c>
      <c r="U9" s="19">
        <f t="shared" si="6"/>
        <v>269.66641613793098</v>
      </c>
      <c r="V9" s="16">
        <f t="shared" si="7"/>
        <v>0.39761656340117152</v>
      </c>
      <c r="W9" s="21">
        <f>(D9*Assumptions!$B$8+E9*Assumptions!$B$7)/100</f>
        <v>784788</v>
      </c>
      <c r="X9" s="21">
        <f>P9*Assumptions!$B$7/100</f>
        <v>764610.15672413795</v>
      </c>
      <c r="Y9" s="21">
        <f t="shared" si="8"/>
        <v>20177.843275862047</v>
      </c>
      <c r="Z9" s="21">
        <f>INDEX(Buildings!$J$7:$J$26,MATCH($A9,Buildings!$A$7:$A$26,0))*Assumptions!$B$21</f>
        <v>7480</v>
      </c>
      <c r="AA9" s="21">
        <f>INDEX(CAPEX!$G$7:$G$26,MATCH($A9,CAPEX!$A$7:$A$26,0))*Assumptions!$B$22+L9*Assumptions!$B$23</f>
        <v>14400</v>
      </c>
      <c r="AB9" s="21">
        <f t="shared" si="9"/>
        <v>792268</v>
      </c>
      <c r="AC9" s="21">
        <f t="shared" si="10"/>
        <v>779010.15672413795</v>
      </c>
      <c r="AD9" s="21">
        <f t="shared" si="11"/>
        <v>13257.843275862047</v>
      </c>
    </row>
    <row r="10" spans="1:30" ht="22.95" customHeight="1">
      <c r="A10" s="6" t="s">
        <v>155</v>
      </c>
      <c r="B10" s="6" t="str">
        <f>INDEX(Buildings!$B$7:$B$26,MATCH($A10,Buildings!$A$7:$A$26,0))</f>
        <v>Dove Administration</v>
      </c>
      <c r="C10" s="8" t="str">
        <f>INDEX(Buildings!$C$7:$C$26,MATCH($A10,Buildings!$A$7:$A$26,0))</f>
        <v>North</v>
      </c>
      <c r="D10" s="8">
        <f>IF(ISNUMBER(INDEX(Buildings!$F$7:$F$26,MATCH($A10,Buildings!$A$7:$A$26,0))),INDEX(Buildings!$F$7:$F$26,MATCH($A10,Buildings!$A$7:$A$26,0)),NA())</f>
        <v>310000</v>
      </c>
      <c r="E10" s="8">
        <f>IF(ISNUMBER(INDEX(Buildings!$G$7:$G$26,MATCH($A10,Buildings!$A$7:$A$26,0))),INDEX(Buildings!$G$7:$G$26,MATCH($A10,Buildings!$A$7:$A$26,0)),NA())</f>
        <v>210000</v>
      </c>
      <c r="F10" s="17">
        <f>IF(INDEX(Buildings!$H$7:$H$26,MATCH($A10,Buildings!$A$7:$A$26,0))&gt;0,INDEX(Buildings!$H$7:$H$26,MATCH($A10,Buildings!$A$7:$A$26,0)),NA())</f>
        <v>0.88</v>
      </c>
      <c r="G10" s="8">
        <f t="shared" si="0"/>
        <v>272800</v>
      </c>
      <c r="H10" s="17">
        <f>INDEX(Buildings!$I$7:$I$26,MATCH($A10,Buildings!$A$7:$A$26,0))</f>
        <v>0.25</v>
      </c>
      <c r="I10" s="8">
        <f t="shared" si="1"/>
        <v>204600</v>
      </c>
      <c r="J10" s="18">
        <f>INDEX(Buildings!$L$7:$L$26,MATCH($A10,Buildings!$A$7:$A$26,0))*Assumptions!$B$12</f>
        <v>3.5</v>
      </c>
      <c r="K10" s="8">
        <f t="shared" si="2"/>
        <v>58457.142857142855</v>
      </c>
      <c r="L10" s="8">
        <f>INDEX(Buildings!$M$7:$M$26,MATCH($A10,Buildings!$A$7:$A$26,0))</f>
        <v>40</v>
      </c>
      <c r="M10" s="8">
        <f>L10*Assumptions!$B$11</f>
        <v>36000</v>
      </c>
      <c r="N10" s="8">
        <f>MIN(M10*INDEX(Buildings!$N$7:$N$26,MATCH($A10,Buildings!$A$7:$A$26,0)),E10+K10)</f>
        <v>25200</v>
      </c>
      <c r="O10" s="8">
        <f t="shared" si="3"/>
        <v>10800</v>
      </c>
      <c r="P10" s="8">
        <f t="shared" si="4"/>
        <v>243257.14285714284</v>
      </c>
      <c r="Q10" s="20">
        <f>D10*Assumptions!$B$9/1000</f>
        <v>56.516100000000002</v>
      </c>
      <c r="R10" s="20">
        <f>E10*Assumptions!$B$10/1000</f>
        <v>27.5016</v>
      </c>
      <c r="S10" s="20">
        <f t="shared" si="5"/>
        <v>84.017700000000005</v>
      </c>
      <c r="T10" s="20">
        <f>P10*Assumptions!$B$10/1000</f>
        <v>31.856955428571425</v>
      </c>
      <c r="U10" s="20">
        <f t="shared" si="6"/>
        <v>52.16074457142858</v>
      </c>
      <c r="V10" s="17">
        <f t="shared" si="7"/>
        <v>0.62083042705797209</v>
      </c>
      <c r="W10" s="22">
        <f>(D10*Assumptions!$B$8+E10*Assumptions!$B$7)/100</f>
        <v>67839</v>
      </c>
      <c r="X10" s="22">
        <f>P10*Assumptions!$B$7/100</f>
        <v>59622.325714285718</v>
      </c>
      <c r="Y10" s="22">
        <f t="shared" si="8"/>
        <v>8216.6742857142817</v>
      </c>
      <c r="Z10" s="22">
        <f>INDEX(Buildings!$J$7:$J$26,MATCH($A10,Buildings!$A$7:$A$26,0))*Assumptions!$B$21</f>
        <v>1560</v>
      </c>
      <c r="AA10" s="22">
        <f>INDEX(CAPEX!$G$7:$G$26,MATCH($A10,CAPEX!$A$7:$A$26,0))*Assumptions!$B$22+L10*Assumptions!$B$23</f>
        <v>4080</v>
      </c>
      <c r="AB10" s="22">
        <f t="shared" si="9"/>
        <v>69399</v>
      </c>
      <c r="AC10" s="22">
        <f t="shared" si="10"/>
        <v>63702.325714285718</v>
      </c>
      <c r="AD10" s="22">
        <f t="shared" si="11"/>
        <v>5696.6742857142817</v>
      </c>
    </row>
    <row r="11" spans="1:30" ht="22.95" customHeight="1">
      <c r="A11" s="1" t="s">
        <v>156</v>
      </c>
      <c r="B11" s="1" t="str">
        <f>INDEX(Buildings!$B$7:$B$26,MATCH($A11,Buildings!$A$7:$A$26,0))</f>
        <v>Elm Residence</v>
      </c>
      <c r="C11" s="7" t="str">
        <f>INDEX(Buildings!$C$7:$C$26,MATCH($A11,Buildings!$A$7:$A$26,0))</f>
        <v>North</v>
      </c>
      <c r="D11" s="7">
        <f>IF(ISNUMBER(INDEX(Buildings!$F$7:$F$26,MATCH($A11,Buildings!$A$7:$A$26,0))),INDEX(Buildings!$F$7:$F$26,MATCH($A11,Buildings!$A$7:$A$26,0)),NA())</f>
        <v>1020000</v>
      </c>
      <c r="E11" s="7">
        <f>IF(ISNUMBER(INDEX(Buildings!$G$7:$G$26,MATCH($A11,Buildings!$A$7:$A$26,0))),INDEX(Buildings!$G$7:$G$26,MATCH($A11,Buildings!$A$7:$A$26,0)),NA())</f>
        <v>460000</v>
      </c>
      <c r="F11" s="16">
        <f>IF(INDEX(Buildings!$H$7:$H$26,MATCH($A11,Buildings!$A$7:$A$26,0))&gt;0,INDEX(Buildings!$H$7:$H$26,MATCH($A11,Buildings!$A$7:$A$26,0)),NA())</f>
        <v>0.84</v>
      </c>
      <c r="G11" s="7">
        <f t="shared" si="0"/>
        <v>856800</v>
      </c>
      <c r="H11" s="16">
        <f>INDEX(Buildings!$I$7:$I$26,MATCH($A11,Buildings!$A$7:$A$26,0))</f>
        <v>0.16</v>
      </c>
      <c r="I11" s="7">
        <f t="shared" si="1"/>
        <v>719712</v>
      </c>
      <c r="J11" s="15">
        <f>INDEX(Buildings!$L$7:$L$26,MATCH($A11,Buildings!$A$7:$A$26,0))*Assumptions!$B$12</f>
        <v>3.1</v>
      </c>
      <c r="K11" s="7">
        <f t="shared" si="2"/>
        <v>232165.16129032258</v>
      </c>
      <c r="L11" s="7">
        <f>INDEX(Buildings!$M$7:$M$26,MATCH($A11,Buildings!$A$7:$A$26,0))</f>
        <v>110</v>
      </c>
      <c r="M11" s="7">
        <f>L11*Assumptions!$B$11</f>
        <v>99000</v>
      </c>
      <c r="N11" s="7">
        <f>MIN(M11*INDEX(Buildings!$N$7:$N$26,MATCH($A11,Buildings!$A$7:$A$26,0)),E11+K11)</f>
        <v>84150</v>
      </c>
      <c r="O11" s="7">
        <f t="shared" si="3"/>
        <v>14850</v>
      </c>
      <c r="P11" s="7">
        <f t="shared" si="4"/>
        <v>608015.16129032255</v>
      </c>
      <c r="Q11" s="19">
        <f>D11*Assumptions!$B$9/1000</f>
        <v>185.95620000000002</v>
      </c>
      <c r="R11" s="19">
        <f>E11*Assumptions!$B$10/1000</f>
        <v>60.241599999999998</v>
      </c>
      <c r="S11" s="19">
        <f t="shared" si="5"/>
        <v>246.19780000000003</v>
      </c>
      <c r="T11" s="19">
        <f>P11*Assumptions!$B$10/1000</f>
        <v>79.625665522580633</v>
      </c>
      <c r="U11" s="19">
        <f t="shared" si="6"/>
        <v>166.57213447741941</v>
      </c>
      <c r="V11" s="16">
        <f t="shared" si="7"/>
        <v>0.67657848476882976</v>
      </c>
      <c r="W11" s="21">
        <f>(D11*Assumptions!$B$8+E11*Assumptions!$B$7)/100</f>
        <v>166602</v>
      </c>
      <c r="X11" s="21">
        <f>P11*Assumptions!$B$7/100</f>
        <v>149024.51603225808</v>
      </c>
      <c r="Y11" s="21">
        <f t="shared" si="8"/>
        <v>17577.483967741922</v>
      </c>
      <c r="Z11" s="21">
        <f>INDEX(Buildings!$J$7:$J$26,MATCH($A11,Buildings!$A$7:$A$26,0))*Assumptions!$B$21</f>
        <v>4320</v>
      </c>
      <c r="AA11" s="21">
        <f>INDEX(CAPEX!$G$7:$G$26,MATCH($A11,CAPEX!$A$7:$A$26,0))*Assumptions!$B$22+L11*Assumptions!$B$23</f>
        <v>8520</v>
      </c>
      <c r="AB11" s="21">
        <f t="shared" si="9"/>
        <v>170922</v>
      </c>
      <c r="AC11" s="21">
        <f t="shared" si="10"/>
        <v>157544.51603225808</v>
      </c>
      <c r="AD11" s="21">
        <f t="shared" si="11"/>
        <v>13377.483967741922</v>
      </c>
    </row>
    <row r="12" spans="1:30" ht="22.95" customHeight="1">
      <c r="A12" s="6" t="s">
        <v>157</v>
      </c>
      <c r="B12" s="6" t="str">
        <f>INDEX(Buildings!$B$7:$B$26,MATCH($A12,Buildings!$A$7:$A$26,0))</f>
        <v>Fern Engineering</v>
      </c>
      <c r="C12" s="8" t="str">
        <f>INDEX(Buildings!$C$7:$C$26,MATCH($A12,Buildings!$A$7:$A$26,0))</f>
        <v>Central</v>
      </c>
      <c r="D12" s="8">
        <f>IF(ISNUMBER(INDEX(Buildings!$F$7:$F$26,MATCH($A12,Buildings!$A$7:$A$26,0))),INDEX(Buildings!$F$7:$F$26,MATCH($A12,Buildings!$A$7:$A$26,0)),NA())</f>
        <v>1390000</v>
      </c>
      <c r="E12" s="8">
        <f>IF(ISNUMBER(INDEX(Buildings!$G$7:$G$26,MATCH($A12,Buildings!$A$7:$A$26,0))),INDEX(Buildings!$G$7:$G$26,MATCH($A12,Buildings!$A$7:$A$26,0)),NA())</f>
        <v>1530000</v>
      </c>
      <c r="F12" s="17">
        <f>IF(INDEX(Buildings!$H$7:$H$26,MATCH($A12,Buildings!$A$7:$A$26,0))&gt;0,INDEX(Buildings!$H$7:$H$26,MATCH($A12,Buildings!$A$7:$A$26,0)),NA())</f>
        <v>0.82</v>
      </c>
      <c r="G12" s="8">
        <f t="shared" si="0"/>
        <v>1139800</v>
      </c>
      <c r="H12" s="17">
        <f>INDEX(Buildings!$I$7:$I$26,MATCH($A12,Buildings!$A$7:$A$26,0))</f>
        <v>0.18</v>
      </c>
      <c r="I12" s="8">
        <f t="shared" si="1"/>
        <v>934636.00000000012</v>
      </c>
      <c r="J12" s="18">
        <f>INDEX(Buildings!$L$7:$L$26,MATCH($A12,Buildings!$A$7:$A$26,0))*Assumptions!$B$12</f>
        <v>3.3</v>
      </c>
      <c r="K12" s="8">
        <f t="shared" si="2"/>
        <v>283223.03030303033</v>
      </c>
      <c r="L12" s="8">
        <f>INDEX(Buildings!$M$7:$M$26,MATCH($A12,Buildings!$A$7:$A$26,0))</f>
        <v>180</v>
      </c>
      <c r="M12" s="8">
        <f>L12*Assumptions!$B$11</f>
        <v>162000</v>
      </c>
      <c r="N12" s="8">
        <f>MIN(M12*INDEX(Buildings!$N$7:$N$26,MATCH($A12,Buildings!$A$7:$A$26,0)),E12+K12)</f>
        <v>129600</v>
      </c>
      <c r="O12" s="8">
        <f t="shared" si="3"/>
        <v>32400</v>
      </c>
      <c r="P12" s="8">
        <f t="shared" si="4"/>
        <v>1683623.0303030303</v>
      </c>
      <c r="Q12" s="20">
        <f>D12*Assumptions!$B$9/1000</f>
        <v>253.4109</v>
      </c>
      <c r="R12" s="20">
        <f>E12*Assumptions!$B$10/1000</f>
        <v>200.36879999999999</v>
      </c>
      <c r="S12" s="20">
        <f t="shared" si="5"/>
        <v>453.77969999999999</v>
      </c>
      <c r="T12" s="20">
        <f>P12*Assumptions!$B$10/1000</f>
        <v>220.48727204848481</v>
      </c>
      <c r="U12" s="20">
        <f t="shared" si="6"/>
        <v>233.29242795151518</v>
      </c>
      <c r="V12" s="17">
        <f t="shared" si="7"/>
        <v>0.51410944110438428</v>
      </c>
      <c r="W12" s="22">
        <f>(D12*Assumptions!$B$8+E12*Assumptions!$B$7)/100</f>
        <v>448395</v>
      </c>
      <c r="X12" s="22">
        <f>P12*Assumptions!$B$7/100</f>
        <v>412656.00472727278</v>
      </c>
      <c r="Y12" s="22">
        <f t="shared" si="8"/>
        <v>35738.995272727218</v>
      </c>
      <c r="Z12" s="22">
        <f>INDEX(Buildings!$J$7:$J$26,MATCH($A12,Buildings!$A$7:$A$26,0))*Assumptions!$B$21</f>
        <v>5700</v>
      </c>
      <c r="AA12" s="22">
        <f>INDEX(CAPEX!$G$7:$G$26,MATCH($A12,CAPEX!$A$7:$A$26,0))*Assumptions!$B$22+L12*Assumptions!$B$23</f>
        <v>11160</v>
      </c>
      <c r="AB12" s="22">
        <f t="shared" si="9"/>
        <v>454095</v>
      </c>
      <c r="AC12" s="22">
        <f t="shared" si="10"/>
        <v>423816.00472727278</v>
      </c>
      <c r="AD12" s="22">
        <f t="shared" si="11"/>
        <v>30278.995272727218</v>
      </c>
    </row>
    <row r="13" spans="1:30" ht="22.95" customHeight="1">
      <c r="A13" s="1" t="s">
        <v>158</v>
      </c>
      <c r="B13" s="1" t="str">
        <f>INDEX(Buildings!$B$7:$B$26,MATCH($A13,Buildings!$A$7:$A$26,0))</f>
        <v>Grove Humanities</v>
      </c>
      <c r="C13" s="7" t="str">
        <f>INDEX(Buildings!$C$7:$C$26,MATCH($A13,Buildings!$A$7:$A$26,0))</f>
        <v>Central</v>
      </c>
      <c r="D13" s="7">
        <f>IF(ISNUMBER(INDEX(Buildings!$F$7:$F$26,MATCH($A13,Buildings!$A$7:$A$26,0))),INDEX(Buildings!$F$7:$F$26,MATCH($A13,Buildings!$A$7:$A$26,0)),NA())</f>
        <v>470000</v>
      </c>
      <c r="E13" s="7">
        <f>IF(ISNUMBER(INDEX(Buildings!$G$7:$G$26,MATCH($A13,Buildings!$A$7:$A$26,0))),INDEX(Buildings!$G$7:$G$26,MATCH($A13,Buildings!$A$7:$A$26,0)),NA())</f>
        <v>260000</v>
      </c>
      <c r="F13" s="16">
        <f>IF(INDEX(Buildings!$H$7:$H$26,MATCH($A13,Buildings!$A$7:$A$26,0))&gt;0,INDEX(Buildings!$H$7:$H$26,MATCH($A13,Buildings!$A$7:$A$26,0)),NA())</f>
        <v>0.86</v>
      </c>
      <c r="G13" s="7">
        <f t="shared" si="0"/>
        <v>404200</v>
      </c>
      <c r="H13" s="16">
        <f>INDEX(Buildings!$I$7:$I$26,MATCH($A13,Buildings!$A$7:$A$26,0))</f>
        <v>0.22</v>
      </c>
      <c r="I13" s="7">
        <f t="shared" si="1"/>
        <v>315276</v>
      </c>
      <c r="J13" s="15">
        <f>INDEX(Buildings!$L$7:$L$26,MATCH($A13,Buildings!$A$7:$A$26,0))*Assumptions!$B$12</f>
        <v>3.4</v>
      </c>
      <c r="K13" s="7">
        <f t="shared" si="2"/>
        <v>92728.23529411765</v>
      </c>
      <c r="L13" s="7">
        <f>INDEX(Buildings!$M$7:$M$26,MATCH($A13,Buildings!$A$7:$A$26,0))</f>
        <v>60</v>
      </c>
      <c r="M13" s="7">
        <f>L13*Assumptions!$B$11</f>
        <v>54000</v>
      </c>
      <c r="N13" s="7">
        <f>MIN(M13*INDEX(Buildings!$N$7:$N$26,MATCH($A13,Buildings!$A$7:$A$26,0)),E13+K13)</f>
        <v>40500</v>
      </c>
      <c r="O13" s="7">
        <f t="shared" si="3"/>
        <v>13500</v>
      </c>
      <c r="P13" s="7">
        <f t="shared" si="4"/>
        <v>312228.23529411765</v>
      </c>
      <c r="Q13" s="19">
        <f>D13*Assumptions!$B$9/1000</f>
        <v>85.685699999999997</v>
      </c>
      <c r="R13" s="19">
        <f>E13*Assumptions!$B$10/1000</f>
        <v>34.049599999999998</v>
      </c>
      <c r="S13" s="19">
        <f t="shared" si="5"/>
        <v>119.7353</v>
      </c>
      <c r="T13" s="19">
        <f>P13*Assumptions!$B$10/1000</f>
        <v>40.889409694117646</v>
      </c>
      <c r="U13" s="19">
        <f t="shared" si="6"/>
        <v>78.845890305882349</v>
      </c>
      <c r="V13" s="16">
        <f t="shared" si="7"/>
        <v>0.65850163072947032</v>
      </c>
      <c r="W13" s="21">
        <f>(D13*Assumptions!$B$8+E13*Assumptions!$B$7)/100</f>
        <v>88542</v>
      </c>
      <c r="X13" s="21">
        <f>P13*Assumptions!$B$7/100</f>
        <v>76527.140470588245</v>
      </c>
      <c r="Y13" s="21">
        <f t="shared" si="8"/>
        <v>12014.859529411755</v>
      </c>
      <c r="Z13" s="21">
        <f>INDEX(Buildings!$J$7:$J$26,MATCH($A13,Buildings!$A$7:$A$26,0))*Assumptions!$B$21</f>
        <v>2240</v>
      </c>
      <c r="AA13" s="21">
        <f>INDEX(CAPEX!$G$7:$G$26,MATCH($A13,CAPEX!$A$7:$A$26,0))*Assumptions!$B$22+L13*Assumptions!$B$23</f>
        <v>4320</v>
      </c>
      <c r="AB13" s="21">
        <f t="shared" si="9"/>
        <v>90782</v>
      </c>
      <c r="AC13" s="21">
        <f t="shared" si="10"/>
        <v>80847.140470588245</v>
      </c>
      <c r="AD13" s="21">
        <f t="shared" si="11"/>
        <v>9934.8595294117549</v>
      </c>
    </row>
    <row r="14" spans="1:30" ht="22.95" customHeight="1">
      <c r="A14" s="6" t="s">
        <v>159</v>
      </c>
      <c r="B14" s="6" t="str">
        <f>INDEX(Buildings!$B$7:$B$26,MATCH($A14,Buildings!$A$7:$A$26,0))</f>
        <v>Hazel Sports Centre</v>
      </c>
      <c r="C14" s="8" t="str">
        <f>INDEX(Buildings!$C$7:$C$26,MATCH($A14,Buildings!$A$7:$A$26,0))</f>
        <v>Central</v>
      </c>
      <c r="D14" s="8">
        <f>IF(ISNUMBER(INDEX(Buildings!$F$7:$F$26,MATCH($A14,Buildings!$A$7:$A$26,0))),INDEX(Buildings!$F$7:$F$26,MATCH($A14,Buildings!$A$7:$A$26,0)),NA())</f>
        <v>1750000</v>
      </c>
      <c r="E14" s="8">
        <f>IF(ISNUMBER(INDEX(Buildings!$G$7:$G$26,MATCH($A14,Buildings!$A$7:$A$26,0))),INDEX(Buildings!$G$7:$G$26,MATCH($A14,Buildings!$A$7:$A$26,0)),NA())</f>
        <v>860000</v>
      </c>
      <c r="F14" s="17">
        <f>IF(INDEX(Buildings!$H$7:$H$26,MATCH($A14,Buildings!$A$7:$A$26,0))&gt;0,INDEX(Buildings!$H$7:$H$26,MATCH($A14,Buildings!$A$7:$A$26,0)),NA())</f>
        <v>0.8</v>
      </c>
      <c r="G14" s="8">
        <f t="shared" si="0"/>
        <v>1400000</v>
      </c>
      <c r="H14" s="17">
        <f>INDEX(Buildings!$I$7:$I$26,MATCH($A14,Buildings!$A$7:$A$26,0))</f>
        <v>0.12</v>
      </c>
      <c r="I14" s="8">
        <f t="shared" si="1"/>
        <v>1232000</v>
      </c>
      <c r="J14" s="18">
        <f>INDEX(Buildings!$L$7:$L$26,MATCH($A14,Buildings!$A$7:$A$26,0))*Assumptions!$B$12</f>
        <v>2.9</v>
      </c>
      <c r="K14" s="8">
        <f t="shared" si="2"/>
        <v>424827.58620689658</v>
      </c>
      <c r="L14" s="8">
        <f>INDEX(Buildings!$M$7:$M$26,MATCH($A14,Buildings!$A$7:$A$26,0))</f>
        <v>140</v>
      </c>
      <c r="M14" s="8">
        <f>L14*Assumptions!$B$11</f>
        <v>126000</v>
      </c>
      <c r="N14" s="8">
        <f>MIN(M14*INDEX(Buildings!$N$7:$N$26,MATCH($A14,Buildings!$A$7:$A$26,0)),E14+K14)</f>
        <v>119700</v>
      </c>
      <c r="O14" s="8">
        <f t="shared" si="3"/>
        <v>6300</v>
      </c>
      <c r="P14" s="8">
        <f t="shared" si="4"/>
        <v>1165127.5862068967</v>
      </c>
      <c r="Q14" s="20">
        <f>D14*Assumptions!$B$9/1000</f>
        <v>319.04250000000002</v>
      </c>
      <c r="R14" s="20">
        <f>E14*Assumptions!$B$10/1000</f>
        <v>112.62559999999999</v>
      </c>
      <c r="S14" s="20">
        <f t="shared" si="5"/>
        <v>431.66809999999998</v>
      </c>
      <c r="T14" s="20">
        <f>P14*Assumptions!$B$10/1000</f>
        <v>152.58510868965516</v>
      </c>
      <c r="U14" s="20">
        <f t="shared" si="6"/>
        <v>279.08299131034482</v>
      </c>
      <c r="V14" s="17">
        <f t="shared" si="7"/>
        <v>0.64652215744073938</v>
      </c>
      <c r="W14" s="22">
        <f>(D14*Assumptions!$B$8+E14*Assumptions!$B$7)/100</f>
        <v>303186</v>
      </c>
      <c r="X14" s="22">
        <f>P14*Assumptions!$B$7/100</f>
        <v>285572.7713793104</v>
      </c>
      <c r="Y14" s="22">
        <f t="shared" si="8"/>
        <v>17613.228620689595</v>
      </c>
      <c r="Z14" s="22">
        <f>INDEX(Buildings!$J$7:$J$26,MATCH($A14,Buildings!$A$7:$A$26,0))*Assumptions!$B$21</f>
        <v>7150</v>
      </c>
      <c r="AA14" s="22">
        <f>INDEX(CAPEX!$G$7:$G$26,MATCH($A14,CAPEX!$A$7:$A$26,0))*Assumptions!$B$22+L14*Assumptions!$B$23</f>
        <v>14280</v>
      </c>
      <c r="AB14" s="22">
        <f t="shared" si="9"/>
        <v>310336</v>
      </c>
      <c r="AC14" s="22">
        <f t="shared" si="10"/>
        <v>299852.7713793104</v>
      </c>
      <c r="AD14" s="22">
        <f t="shared" si="11"/>
        <v>10483.228620689595</v>
      </c>
    </row>
    <row r="15" spans="1:30" ht="22.95" customHeight="1">
      <c r="A15" s="1" t="s">
        <v>160</v>
      </c>
      <c r="B15" s="1" t="str">
        <f>INDEX(Buildings!$B$7:$B$26,MATCH($A15,Buildings!$A$7:$A$26,0))</f>
        <v>Iris Computing</v>
      </c>
      <c r="C15" s="7" t="str">
        <f>INDEX(Buildings!$C$7:$C$26,MATCH($A15,Buildings!$A$7:$A$26,0))</f>
        <v>Central</v>
      </c>
      <c r="D15" s="7">
        <f>IF(ISNUMBER(INDEX(Buildings!$F$7:$F$26,MATCH($A15,Buildings!$A$7:$A$26,0))),INDEX(Buildings!$F$7:$F$26,MATCH($A15,Buildings!$A$7:$A$26,0)),NA())</f>
        <v>450000</v>
      </c>
      <c r="E15" s="7">
        <f>IF(ISNUMBER(INDEX(Buildings!$G$7:$G$26,MATCH($A15,Buildings!$A$7:$A$26,0))),INDEX(Buildings!$G$7:$G$26,MATCH($A15,Buildings!$A$7:$A$26,0)),NA())</f>
        <v>2380000</v>
      </c>
      <c r="F15" s="16">
        <f>IF(INDEX(Buildings!$H$7:$H$26,MATCH($A15,Buildings!$A$7:$A$26,0))&gt;0,INDEX(Buildings!$H$7:$H$26,MATCH($A15,Buildings!$A$7:$A$26,0)),NA())</f>
        <v>0.88</v>
      </c>
      <c r="G15" s="7">
        <f t="shared" si="0"/>
        <v>396000</v>
      </c>
      <c r="H15" s="16">
        <f>INDEX(Buildings!$I$7:$I$26,MATCH($A15,Buildings!$A$7:$A$26,0))</f>
        <v>0.25</v>
      </c>
      <c r="I15" s="7">
        <f t="shared" si="1"/>
        <v>297000</v>
      </c>
      <c r="J15" s="15">
        <f>INDEX(Buildings!$L$7:$L$26,MATCH($A15,Buildings!$A$7:$A$26,0))*Assumptions!$B$12</f>
        <v>3.5</v>
      </c>
      <c r="K15" s="7">
        <f t="shared" si="2"/>
        <v>84857.142857142855</v>
      </c>
      <c r="L15" s="7">
        <f>INDEX(Buildings!$M$7:$M$26,MATCH($A15,Buildings!$A$7:$A$26,0))</f>
        <v>120</v>
      </c>
      <c r="M15" s="7">
        <f>L15*Assumptions!$B$11</f>
        <v>108000</v>
      </c>
      <c r="N15" s="7">
        <f>MIN(M15*INDEX(Buildings!$N$7:$N$26,MATCH($A15,Buildings!$A$7:$A$26,0)),E15+K15)</f>
        <v>75600</v>
      </c>
      <c r="O15" s="7">
        <f t="shared" si="3"/>
        <v>32400</v>
      </c>
      <c r="P15" s="7">
        <f t="shared" si="4"/>
        <v>2389257.1428571427</v>
      </c>
      <c r="Q15" s="19">
        <f>D15*Assumptions!$B$9/1000</f>
        <v>82.039500000000004</v>
      </c>
      <c r="R15" s="19">
        <f>E15*Assumptions!$B$10/1000</f>
        <v>311.6848</v>
      </c>
      <c r="S15" s="19">
        <f t="shared" si="5"/>
        <v>393.72429999999997</v>
      </c>
      <c r="T15" s="19">
        <f>P15*Assumptions!$B$10/1000</f>
        <v>312.8971154285714</v>
      </c>
      <c r="U15" s="19">
        <f t="shared" si="6"/>
        <v>80.827184571428575</v>
      </c>
      <c r="V15" s="16">
        <f t="shared" si="7"/>
        <v>0.20528878855439855</v>
      </c>
      <c r="W15" s="21">
        <f>(D15*Assumptions!$B$8+E15*Assumptions!$B$7)/100</f>
        <v>607098</v>
      </c>
      <c r="X15" s="21">
        <f>P15*Assumptions!$B$7/100</f>
        <v>585606.92571428569</v>
      </c>
      <c r="Y15" s="21">
        <f t="shared" si="8"/>
        <v>21491.074285714305</v>
      </c>
      <c r="Z15" s="21">
        <f>INDEX(Buildings!$J$7:$J$26,MATCH($A15,Buildings!$A$7:$A$26,0))*Assumptions!$B$21</f>
        <v>3120</v>
      </c>
      <c r="AA15" s="21">
        <f>INDEX(CAPEX!$G$7:$G$26,MATCH($A15,CAPEX!$A$7:$A$26,0))*Assumptions!$B$22+L15*Assumptions!$B$23</f>
        <v>6840</v>
      </c>
      <c r="AB15" s="21">
        <f t="shared" si="9"/>
        <v>610218</v>
      </c>
      <c r="AC15" s="21">
        <f t="shared" si="10"/>
        <v>592446.92571428569</v>
      </c>
      <c r="AD15" s="21">
        <f t="shared" si="11"/>
        <v>17771.074285714305</v>
      </c>
    </row>
    <row r="16" spans="1:30" ht="22.95" customHeight="1">
      <c r="A16" s="6" t="s">
        <v>161</v>
      </c>
      <c r="B16" s="6" t="str">
        <f>INDEX(Buildings!$B$7:$B$26,MATCH($A16,Buildings!$A$7:$A$26,0))</f>
        <v>Juniper Research</v>
      </c>
      <c r="C16" s="8" t="str">
        <f>INDEX(Buildings!$C$7:$C$26,MATCH($A16,Buildings!$A$7:$A$26,0))</f>
        <v>Central</v>
      </c>
      <c r="D16" s="8">
        <f>IF(ISNUMBER(INDEX(Buildings!$F$7:$F$26,MATCH($A16,Buildings!$A$7:$A$26,0))),INDEX(Buildings!$F$7:$F$26,MATCH($A16,Buildings!$A$7:$A$26,0)),NA())</f>
        <v>1460000</v>
      </c>
      <c r="E16" s="8">
        <f>IF(ISNUMBER(INDEX(Buildings!$G$7:$G$26,MATCH($A16,Buildings!$A$7:$A$26,0))),INDEX(Buildings!$G$7:$G$26,MATCH($A16,Buildings!$A$7:$A$26,0)),NA())</f>
        <v>2490000</v>
      </c>
      <c r="F16" s="17">
        <f>IF(INDEX(Buildings!$H$7:$H$26,MATCH($A16,Buildings!$A$7:$A$26,0))&gt;0,INDEX(Buildings!$H$7:$H$26,MATCH($A16,Buildings!$A$7:$A$26,0)),NA())</f>
        <v>0.84</v>
      </c>
      <c r="G16" s="8">
        <f t="shared" si="0"/>
        <v>1226400</v>
      </c>
      <c r="H16" s="17">
        <f>INDEX(Buildings!$I$7:$I$26,MATCH($A16,Buildings!$A$7:$A$26,0))</f>
        <v>0.16</v>
      </c>
      <c r="I16" s="8">
        <f t="shared" si="1"/>
        <v>1030176</v>
      </c>
      <c r="J16" s="18">
        <f>INDEX(Buildings!$L$7:$L$26,MATCH($A16,Buildings!$A$7:$A$26,0))*Assumptions!$B$12</f>
        <v>3.1</v>
      </c>
      <c r="K16" s="8">
        <f t="shared" si="2"/>
        <v>332314.83870967739</v>
      </c>
      <c r="L16" s="8">
        <f>INDEX(Buildings!$M$7:$M$26,MATCH($A16,Buildings!$A$7:$A$26,0))</f>
        <v>170</v>
      </c>
      <c r="M16" s="8">
        <f>L16*Assumptions!$B$11</f>
        <v>153000</v>
      </c>
      <c r="N16" s="8">
        <f>MIN(M16*INDEX(Buildings!$N$7:$N$26,MATCH($A16,Buildings!$A$7:$A$26,0)),E16+K16)</f>
        <v>130050</v>
      </c>
      <c r="O16" s="8">
        <f t="shared" si="3"/>
        <v>22950</v>
      </c>
      <c r="P16" s="8">
        <f t="shared" si="4"/>
        <v>2692264.8387096776</v>
      </c>
      <c r="Q16" s="20">
        <f>D16*Assumptions!$B$9/1000</f>
        <v>266.17259999999999</v>
      </c>
      <c r="R16" s="20">
        <f>E16*Assumptions!$B$10/1000</f>
        <v>326.09039999999999</v>
      </c>
      <c r="S16" s="20">
        <f t="shared" si="5"/>
        <v>592.26299999999992</v>
      </c>
      <c r="T16" s="20">
        <f>P16*Assumptions!$B$10/1000</f>
        <v>352.57900327741936</v>
      </c>
      <c r="U16" s="20">
        <f t="shared" si="6"/>
        <v>239.68399672258056</v>
      </c>
      <c r="V16" s="17">
        <f t="shared" si="7"/>
        <v>0.40469182900600004</v>
      </c>
      <c r="W16" s="22">
        <f>(D16*Assumptions!$B$8+E16*Assumptions!$B$7)/100</f>
        <v>687387</v>
      </c>
      <c r="X16" s="22">
        <f>P16*Assumptions!$B$7/100</f>
        <v>659874.11196774198</v>
      </c>
      <c r="Y16" s="22">
        <f t="shared" si="8"/>
        <v>27512.888032258023</v>
      </c>
      <c r="Z16" s="22">
        <f>INDEX(Buildings!$J$7:$J$26,MATCH($A16,Buildings!$A$7:$A$26,0))*Assumptions!$B$21</f>
        <v>5760</v>
      </c>
      <c r="AA16" s="22">
        <f>INDEX(CAPEX!$G$7:$G$26,MATCH($A16,CAPEX!$A$7:$A$26,0))*Assumptions!$B$22+L16*Assumptions!$B$23</f>
        <v>11040</v>
      </c>
      <c r="AB16" s="22">
        <f t="shared" si="9"/>
        <v>693147</v>
      </c>
      <c r="AC16" s="22">
        <f t="shared" si="10"/>
        <v>670914.11196774198</v>
      </c>
      <c r="AD16" s="22">
        <f t="shared" si="11"/>
        <v>22232.888032258023</v>
      </c>
    </row>
    <row r="17" spans="1:30" ht="22.95" customHeight="1">
      <c r="A17" s="1" t="s">
        <v>162</v>
      </c>
      <c r="B17" s="1" t="str">
        <f>INDEX(Buildings!$B$7:$B$26,MATCH($A17,Buildings!$A$7:$A$26,0))</f>
        <v>Kingfisher Hall</v>
      </c>
      <c r="C17" s="7" t="str">
        <f>INDEX(Buildings!$C$7:$C$26,MATCH($A17,Buildings!$A$7:$A$26,0))</f>
        <v>South</v>
      </c>
      <c r="D17" s="7">
        <f>IF(ISNUMBER(INDEX(Buildings!$F$7:$F$26,MATCH($A17,Buildings!$A$7:$A$26,0))),INDEX(Buildings!$F$7:$F$26,MATCH($A17,Buildings!$A$7:$A$26,0)),NA())</f>
        <v>780000</v>
      </c>
      <c r="E17" s="7">
        <f>IF(ISNUMBER(INDEX(Buildings!$G$7:$G$26,MATCH($A17,Buildings!$A$7:$A$26,0))),INDEX(Buildings!$G$7:$G$26,MATCH($A17,Buildings!$A$7:$A$26,0)),NA())</f>
        <v>350000</v>
      </c>
      <c r="F17" s="16">
        <f>IF(INDEX(Buildings!$H$7:$H$26,MATCH($A17,Buildings!$A$7:$A$26,0))&gt;0,INDEX(Buildings!$H$7:$H$26,MATCH($A17,Buildings!$A$7:$A$26,0)),NA())</f>
        <v>0.82</v>
      </c>
      <c r="G17" s="7">
        <f t="shared" si="0"/>
        <v>639600</v>
      </c>
      <c r="H17" s="16">
        <f>INDEX(Buildings!$I$7:$I$26,MATCH($A17,Buildings!$A$7:$A$26,0))</f>
        <v>0.18</v>
      </c>
      <c r="I17" s="7">
        <f t="shared" si="1"/>
        <v>524472</v>
      </c>
      <c r="J17" s="15">
        <f>INDEX(Buildings!$L$7:$L$26,MATCH($A17,Buildings!$A$7:$A$26,0))*Assumptions!$B$12</f>
        <v>3.3</v>
      </c>
      <c r="K17" s="7">
        <f t="shared" si="2"/>
        <v>158930.90909090909</v>
      </c>
      <c r="L17" s="7">
        <f>INDEX(Buildings!$M$7:$M$26,MATCH($A17,Buildings!$A$7:$A$26,0))</f>
        <v>85</v>
      </c>
      <c r="M17" s="7">
        <f>L17*Assumptions!$B$11</f>
        <v>76500</v>
      </c>
      <c r="N17" s="7">
        <f>MIN(M17*INDEX(Buildings!$N$7:$N$26,MATCH($A17,Buildings!$A$7:$A$26,0)),E17+K17)</f>
        <v>61200</v>
      </c>
      <c r="O17" s="7">
        <f t="shared" si="3"/>
        <v>15300</v>
      </c>
      <c r="P17" s="7">
        <f t="shared" si="4"/>
        <v>447730.90909090906</v>
      </c>
      <c r="Q17" s="19">
        <f>D17*Assumptions!$B$9/1000</f>
        <v>142.20179999999999</v>
      </c>
      <c r="R17" s="19">
        <f>E17*Assumptions!$B$10/1000</f>
        <v>45.835999999999999</v>
      </c>
      <c r="S17" s="19">
        <f t="shared" si="5"/>
        <v>188.0378</v>
      </c>
      <c r="T17" s="19">
        <f>P17*Assumptions!$B$10/1000</f>
        <v>58.634839854545447</v>
      </c>
      <c r="U17" s="19">
        <f t="shared" si="6"/>
        <v>129.40296014545456</v>
      </c>
      <c r="V17" s="16">
        <f t="shared" si="7"/>
        <v>0.68817525064351182</v>
      </c>
      <c r="W17" s="21">
        <f>(D17*Assumptions!$B$8+E17*Assumptions!$B$7)/100</f>
        <v>126969</v>
      </c>
      <c r="X17" s="21">
        <f>P17*Assumptions!$B$7/100</f>
        <v>109738.84581818181</v>
      </c>
      <c r="Y17" s="21">
        <f t="shared" si="8"/>
        <v>17230.154181818187</v>
      </c>
      <c r="Z17" s="21">
        <f>INDEX(Buildings!$J$7:$J$26,MATCH($A17,Buildings!$A$7:$A$26,0))*Assumptions!$B$21</f>
        <v>2930</v>
      </c>
      <c r="AA17" s="21">
        <f>INDEX(CAPEX!$G$7:$G$26,MATCH($A17,CAPEX!$A$7:$A$26,0))*Assumptions!$B$22+L17*Assumptions!$B$23</f>
        <v>6420</v>
      </c>
      <c r="AB17" s="21">
        <f t="shared" si="9"/>
        <v>129899</v>
      </c>
      <c r="AC17" s="21">
        <f t="shared" si="10"/>
        <v>116158.84581818181</v>
      </c>
      <c r="AD17" s="21">
        <f t="shared" si="11"/>
        <v>13740.154181818187</v>
      </c>
    </row>
    <row r="18" spans="1:30" ht="22.95" customHeight="1">
      <c r="A18" s="6" t="s">
        <v>163</v>
      </c>
      <c r="B18" s="6" t="str">
        <f>INDEX(Buildings!$B$7:$B$26,MATCH($A18,Buildings!$A$7:$A$26,0))</f>
        <v>Larch Medical Sciences</v>
      </c>
      <c r="C18" s="8" t="str">
        <f>INDEX(Buildings!$C$7:$C$26,MATCH($A18,Buildings!$A$7:$A$26,0))</f>
        <v>South</v>
      </c>
      <c r="D18" s="8">
        <f>IF(ISNUMBER(INDEX(Buildings!$F$7:$F$26,MATCH($A18,Buildings!$A$7:$A$26,0))),INDEX(Buildings!$F$7:$F$26,MATCH($A18,Buildings!$A$7:$A$26,0)),NA())</f>
        <v>2050000</v>
      </c>
      <c r="E18" s="8">
        <f>IF(ISNUMBER(INDEX(Buildings!$G$7:$G$26,MATCH($A18,Buildings!$A$7:$A$26,0))),INDEX(Buildings!$G$7:$G$26,MATCH($A18,Buildings!$A$7:$A$26,0)),NA())</f>
        <v>3620000</v>
      </c>
      <c r="F18" s="17">
        <f>IF(INDEX(Buildings!$H$7:$H$26,MATCH($A18,Buildings!$A$7:$A$26,0))&gt;0,INDEX(Buildings!$H$7:$H$26,MATCH($A18,Buildings!$A$7:$A$26,0)),NA())</f>
        <v>0.86</v>
      </c>
      <c r="G18" s="8">
        <f t="shared" si="0"/>
        <v>1763000</v>
      </c>
      <c r="H18" s="17">
        <f>INDEX(Buildings!$I$7:$I$26,MATCH($A18,Buildings!$A$7:$A$26,0))</f>
        <v>0.22</v>
      </c>
      <c r="I18" s="8">
        <f t="shared" si="1"/>
        <v>1375140</v>
      </c>
      <c r="J18" s="18">
        <f>INDEX(Buildings!$L$7:$L$26,MATCH($A18,Buildings!$A$7:$A$26,0))*Assumptions!$B$12</f>
        <v>3.4</v>
      </c>
      <c r="K18" s="8">
        <f t="shared" si="2"/>
        <v>404452.9411764706</v>
      </c>
      <c r="L18" s="8">
        <f>INDEX(Buildings!$M$7:$M$26,MATCH($A18,Buildings!$A$7:$A$26,0))</f>
        <v>200</v>
      </c>
      <c r="M18" s="8">
        <f>L18*Assumptions!$B$11</f>
        <v>180000</v>
      </c>
      <c r="N18" s="8">
        <f>MIN(M18*INDEX(Buildings!$N$7:$N$26,MATCH($A18,Buildings!$A$7:$A$26,0)),E18+K18)</f>
        <v>135000</v>
      </c>
      <c r="O18" s="8">
        <f t="shared" si="3"/>
        <v>45000</v>
      </c>
      <c r="P18" s="8">
        <f t="shared" si="4"/>
        <v>3889452.9411764704</v>
      </c>
      <c r="Q18" s="20">
        <f>D18*Assumptions!$B$9/1000</f>
        <v>373.7355</v>
      </c>
      <c r="R18" s="20">
        <f>E18*Assumptions!$B$10/1000</f>
        <v>474.07519999999994</v>
      </c>
      <c r="S18" s="20">
        <f t="shared" si="5"/>
        <v>847.8107</v>
      </c>
      <c r="T18" s="20">
        <f>P18*Assumptions!$B$10/1000</f>
        <v>509.36275717647055</v>
      </c>
      <c r="U18" s="20">
        <f t="shared" si="6"/>
        <v>338.44794282352944</v>
      </c>
      <c r="V18" s="17">
        <f t="shared" si="7"/>
        <v>0.39920225449328423</v>
      </c>
      <c r="W18" s="22">
        <f>(D18*Assumptions!$B$8+E18*Assumptions!$B$7)/100</f>
        <v>995502</v>
      </c>
      <c r="X18" s="22">
        <f>P18*Assumptions!$B$7/100</f>
        <v>953304.91588235286</v>
      </c>
      <c r="Y18" s="22">
        <f t="shared" si="8"/>
        <v>42197.084117647144</v>
      </c>
      <c r="Z18" s="22">
        <f>INDEX(Buildings!$J$7:$J$26,MATCH($A18,Buildings!$A$7:$A$26,0))*Assumptions!$B$21</f>
        <v>5950</v>
      </c>
      <c r="AA18" s="22">
        <f>INDEX(CAPEX!$G$7:$G$26,MATCH($A18,CAPEX!$A$7:$A$26,0))*Assumptions!$B$22+L18*Assumptions!$B$23</f>
        <v>11400</v>
      </c>
      <c r="AB18" s="22">
        <f t="shared" si="9"/>
        <v>1001452</v>
      </c>
      <c r="AC18" s="22">
        <f t="shared" si="10"/>
        <v>964704.91588235286</v>
      </c>
      <c r="AD18" s="22">
        <f t="shared" si="11"/>
        <v>36747.084117647144</v>
      </c>
    </row>
    <row r="19" spans="1:30" ht="22.95" customHeight="1">
      <c r="A19" s="1" t="s">
        <v>164</v>
      </c>
      <c r="B19" s="1" t="str">
        <f>INDEX(Buildings!$B$7:$B$26,MATCH($A19,Buildings!$A$7:$A$26,0))</f>
        <v>Maple Arts Studio</v>
      </c>
      <c r="C19" s="7" t="str">
        <f>INDEX(Buildings!$C$7:$C$26,MATCH($A19,Buildings!$A$7:$A$26,0))</f>
        <v>South</v>
      </c>
      <c r="D19" s="7">
        <f>IF(ISNUMBER(INDEX(Buildings!$F$7:$F$26,MATCH($A19,Buildings!$A$7:$A$26,0))),INDEX(Buildings!$F$7:$F$26,MATCH($A19,Buildings!$A$7:$A$26,0)),NA())</f>
        <v>390000</v>
      </c>
      <c r="E19" s="7">
        <f>IF(ISNUMBER(INDEX(Buildings!$G$7:$G$26,MATCH($A19,Buildings!$A$7:$A$26,0))),INDEX(Buildings!$G$7:$G$26,MATCH($A19,Buildings!$A$7:$A$26,0)),NA())</f>
        <v>290000</v>
      </c>
      <c r="F19" s="16">
        <f>IF(INDEX(Buildings!$H$7:$H$26,MATCH($A19,Buildings!$A$7:$A$26,0))&gt;0,INDEX(Buildings!$H$7:$H$26,MATCH($A19,Buildings!$A$7:$A$26,0)),NA())</f>
        <v>0.8</v>
      </c>
      <c r="G19" s="7">
        <f t="shared" si="0"/>
        <v>312000</v>
      </c>
      <c r="H19" s="16">
        <f>INDEX(Buildings!$I$7:$I$26,MATCH($A19,Buildings!$A$7:$A$26,0))</f>
        <v>0.12</v>
      </c>
      <c r="I19" s="7">
        <f t="shared" si="1"/>
        <v>274560</v>
      </c>
      <c r="J19" s="15">
        <f>INDEX(Buildings!$L$7:$L$26,MATCH($A19,Buildings!$A$7:$A$26,0))*Assumptions!$B$12</f>
        <v>2.9</v>
      </c>
      <c r="K19" s="7">
        <f t="shared" si="2"/>
        <v>94675.862068965522</v>
      </c>
      <c r="L19" s="7">
        <f>INDEX(Buildings!$M$7:$M$26,MATCH($A19,Buildings!$A$7:$A$26,0))</f>
        <v>55</v>
      </c>
      <c r="M19" s="7">
        <f>L19*Assumptions!$B$11</f>
        <v>49500</v>
      </c>
      <c r="N19" s="7">
        <f>MIN(M19*INDEX(Buildings!$N$7:$N$26,MATCH($A19,Buildings!$A$7:$A$26,0)),E19+K19)</f>
        <v>47025</v>
      </c>
      <c r="O19" s="7">
        <f t="shared" si="3"/>
        <v>2475</v>
      </c>
      <c r="P19" s="7">
        <f t="shared" si="4"/>
        <v>337650.86206896551</v>
      </c>
      <c r="Q19" s="19">
        <f>D19*Assumptions!$B$9/1000</f>
        <v>71.100899999999996</v>
      </c>
      <c r="R19" s="19">
        <f>E19*Assumptions!$B$10/1000</f>
        <v>37.978400000000001</v>
      </c>
      <c r="S19" s="19">
        <f t="shared" si="5"/>
        <v>109.07929999999999</v>
      </c>
      <c r="T19" s="19">
        <f>P19*Assumptions!$B$10/1000</f>
        <v>44.218756896551717</v>
      </c>
      <c r="U19" s="19">
        <f t="shared" si="6"/>
        <v>64.860543103448265</v>
      </c>
      <c r="V19" s="16">
        <f t="shared" si="7"/>
        <v>0.59461825574099092</v>
      </c>
      <c r="W19" s="21">
        <f>(D19*Assumptions!$B$8+E19*Assumptions!$B$7)/100</f>
        <v>91671</v>
      </c>
      <c r="X19" s="21">
        <f>P19*Assumptions!$B$7/100</f>
        <v>82758.226293103449</v>
      </c>
      <c r="Y19" s="21">
        <f t="shared" si="8"/>
        <v>8912.7737068965507</v>
      </c>
      <c r="Z19" s="21">
        <f>INDEX(Buildings!$J$7:$J$26,MATCH($A19,Buildings!$A$7:$A$26,0))*Assumptions!$B$21</f>
        <v>2970</v>
      </c>
      <c r="AA19" s="21">
        <f>INDEX(CAPEX!$G$7:$G$26,MATCH($A19,CAPEX!$A$7:$A$26,0))*Assumptions!$B$22+L19*Assumptions!$B$23</f>
        <v>6060</v>
      </c>
      <c r="AB19" s="21">
        <f t="shared" si="9"/>
        <v>94641</v>
      </c>
      <c r="AC19" s="21">
        <f t="shared" si="10"/>
        <v>88818.226293103449</v>
      </c>
      <c r="AD19" s="21">
        <f t="shared" si="11"/>
        <v>5822.7737068965507</v>
      </c>
    </row>
    <row r="20" spans="1:30" ht="22.95" customHeight="1">
      <c r="A20" s="6" t="s">
        <v>165</v>
      </c>
      <c r="B20" s="6" t="str">
        <f>INDEX(Buildings!$B$7:$B$26,MATCH($A20,Buildings!$A$7:$A$26,0))</f>
        <v>Newton Lecture Block</v>
      </c>
      <c r="C20" s="8" t="str">
        <f>INDEX(Buildings!$C$7:$C$26,MATCH($A20,Buildings!$A$7:$A$26,0))</f>
        <v>South</v>
      </c>
      <c r="D20" s="8">
        <f>IF(ISNUMBER(INDEX(Buildings!$F$7:$F$26,MATCH($A20,Buildings!$A$7:$A$26,0))),INDEX(Buildings!$F$7:$F$26,MATCH($A20,Buildings!$A$7:$A$26,0)),NA())</f>
        <v>690000</v>
      </c>
      <c r="E20" s="8">
        <f>IF(ISNUMBER(INDEX(Buildings!$G$7:$G$26,MATCH($A20,Buildings!$A$7:$A$26,0))),INDEX(Buildings!$G$7:$G$26,MATCH($A20,Buildings!$A$7:$A$26,0)),NA())</f>
        <v>440000</v>
      </c>
      <c r="F20" s="17">
        <f>IF(INDEX(Buildings!$H$7:$H$26,MATCH($A20,Buildings!$A$7:$A$26,0))&gt;0,INDEX(Buildings!$H$7:$H$26,MATCH($A20,Buildings!$A$7:$A$26,0)),NA())</f>
        <v>0.88</v>
      </c>
      <c r="G20" s="8">
        <f t="shared" si="0"/>
        <v>607200</v>
      </c>
      <c r="H20" s="17">
        <f>INDEX(Buildings!$I$7:$I$26,MATCH($A20,Buildings!$A$7:$A$26,0))</f>
        <v>0.25</v>
      </c>
      <c r="I20" s="8">
        <f t="shared" si="1"/>
        <v>455400</v>
      </c>
      <c r="J20" s="18">
        <f>INDEX(Buildings!$L$7:$L$26,MATCH($A20,Buildings!$A$7:$A$26,0))*Assumptions!$B$12</f>
        <v>3.5</v>
      </c>
      <c r="K20" s="8">
        <f t="shared" si="2"/>
        <v>130114.28571428571</v>
      </c>
      <c r="L20" s="8">
        <f>INDEX(Buildings!$M$7:$M$26,MATCH($A20,Buildings!$A$7:$A$26,0))</f>
        <v>100</v>
      </c>
      <c r="M20" s="8">
        <f>L20*Assumptions!$B$11</f>
        <v>90000</v>
      </c>
      <c r="N20" s="8">
        <f>MIN(M20*INDEX(Buildings!$N$7:$N$26,MATCH($A20,Buildings!$A$7:$A$26,0)),E20+K20)</f>
        <v>62999.999999999993</v>
      </c>
      <c r="O20" s="8">
        <f t="shared" si="3"/>
        <v>27000.000000000007</v>
      </c>
      <c r="P20" s="8">
        <f t="shared" si="4"/>
        <v>507114.28571428568</v>
      </c>
      <c r="Q20" s="20">
        <f>D20*Assumptions!$B$9/1000</f>
        <v>125.79389999999999</v>
      </c>
      <c r="R20" s="20">
        <f>E20*Assumptions!$B$10/1000</f>
        <v>57.622399999999992</v>
      </c>
      <c r="S20" s="20">
        <f t="shared" si="5"/>
        <v>183.41629999999998</v>
      </c>
      <c r="T20" s="20">
        <f>P20*Assumptions!$B$10/1000</f>
        <v>66.411686857142854</v>
      </c>
      <c r="U20" s="20">
        <f t="shared" si="6"/>
        <v>117.00461314285712</v>
      </c>
      <c r="V20" s="17">
        <f t="shared" si="7"/>
        <v>0.63791829375501052</v>
      </c>
      <c r="W20" s="22">
        <f>(D20*Assumptions!$B$8+E20*Assumptions!$B$7)/100</f>
        <v>144276</v>
      </c>
      <c r="X20" s="22">
        <f>P20*Assumptions!$B$7/100</f>
        <v>124293.71142857143</v>
      </c>
      <c r="Y20" s="22">
        <f t="shared" si="8"/>
        <v>19982.288571428566</v>
      </c>
      <c r="Z20" s="22">
        <f>INDEX(Buildings!$J$7:$J$26,MATCH($A20,Buildings!$A$7:$A$26,0))*Assumptions!$B$21</f>
        <v>2990</v>
      </c>
      <c r="AA20" s="22">
        <f>INDEX(CAPEX!$G$7:$G$26,MATCH($A20,CAPEX!$A$7:$A$26,0))*Assumptions!$B$22+L20*Assumptions!$B$23</f>
        <v>6600</v>
      </c>
      <c r="AB20" s="22">
        <f t="shared" si="9"/>
        <v>147266</v>
      </c>
      <c r="AC20" s="22">
        <f t="shared" si="10"/>
        <v>130893.71142857143</v>
      </c>
      <c r="AD20" s="22">
        <f t="shared" si="11"/>
        <v>16372.288571428566</v>
      </c>
    </row>
    <row r="21" spans="1:30" ht="22.95" customHeight="1">
      <c r="A21" s="1" t="s">
        <v>166</v>
      </c>
      <c r="B21" s="1" t="str">
        <f>INDEX(Buildings!$B$7:$B$26,MATCH($A21,Buildings!$A$7:$A$26,0))</f>
        <v>Oak Student Centre</v>
      </c>
      <c r="C21" s="7" t="str">
        <f>INDEX(Buildings!$C$7:$C$26,MATCH($A21,Buildings!$A$7:$A$26,0))</f>
        <v>South</v>
      </c>
      <c r="D21" s="7">
        <f>IF(ISNUMBER(INDEX(Buildings!$F$7:$F$26,MATCH($A21,Buildings!$A$7:$A$26,0))),INDEX(Buildings!$F$7:$F$26,MATCH($A21,Buildings!$A$7:$A$26,0)),NA())</f>
        <v>620000</v>
      </c>
      <c r="E21" s="7">
        <f>IF(ISNUMBER(INDEX(Buildings!$G$7:$G$26,MATCH($A21,Buildings!$A$7:$A$26,0))),INDEX(Buildings!$G$7:$G$26,MATCH($A21,Buildings!$A$7:$A$26,0)),NA())</f>
        <v>610000</v>
      </c>
      <c r="F21" s="16">
        <f>IF(INDEX(Buildings!$H$7:$H$26,MATCH($A21,Buildings!$A$7:$A$26,0))&gt;0,INDEX(Buildings!$H$7:$H$26,MATCH($A21,Buildings!$A$7:$A$26,0)),NA())</f>
        <v>0.84</v>
      </c>
      <c r="G21" s="7">
        <f t="shared" si="0"/>
        <v>520800</v>
      </c>
      <c r="H21" s="16">
        <f>INDEX(Buildings!$I$7:$I$26,MATCH($A21,Buildings!$A$7:$A$26,0))</f>
        <v>0.16</v>
      </c>
      <c r="I21" s="7">
        <f t="shared" si="1"/>
        <v>437472</v>
      </c>
      <c r="J21" s="15">
        <f>INDEX(Buildings!$L$7:$L$26,MATCH($A21,Buildings!$A$7:$A$26,0))*Assumptions!$B$12</f>
        <v>3.1</v>
      </c>
      <c r="K21" s="7">
        <f t="shared" si="2"/>
        <v>141120</v>
      </c>
      <c r="L21" s="7">
        <f>INDEX(Buildings!$M$7:$M$26,MATCH($A21,Buildings!$A$7:$A$26,0))</f>
        <v>95</v>
      </c>
      <c r="M21" s="7">
        <f>L21*Assumptions!$B$11</f>
        <v>85500</v>
      </c>
      <c r="N21" s="7">
        <f>MIN(M21*INDEX(Buildings!$N$7:$N$26,MATCH($A21,Buildings!$A$7:$A$26,0)),E21+K21)</f>
        <v>72675</v>
      </c>
      <c r="O21" s="7">
        <f t="shared" si="3"/>
        <v>12825</v>
      </c>
      <c r="P21" s="7">
        <f t="shared" si="4"/>
        <v>678445</v>
      </c>
      <c r="Q21" s="19">
        <f>D21*Assumptions!$B$9/1000</f>
        <v>113.0322</v>
      </c>
      <c r="R21" s="19">
        <f>E21*Assumptions!$B$10/1000</f>
        <v>79.885599999999997</v>
      </c>
      <c r="S21" s="19">
        <f t="shared" si="5"/>
        <v>192.9178</v>
      </c>
      <c r="T21" s="19">
        <f>P21*Assumptions!$B$10/1000</f>
        <v>88.849157200000008</v>
      </c>
      <c r="U21" s="19">
        <f t="shared" si="6"/>
        <v>104.06864279999999</v>
      </c>
      <c r="V21" s="16">
        <f t="shared" si="7"/>
        <v>0.53944551928334239</v>
      </c>
      <c r="W21" s="21">
        <f>(D21*Assumptions!$B$8+E21*Assumptions!$B$7)/100</f>
        <v>182247</v>
      </c>
      <c r="X21" s="21">
        <f>P21*Assumptions!$B$7/100</f>
        <v>166286.8695</v>
      </c>
      <c r="Y21" s="21">
        <f t="shared" si="8"/>
        <v>15960.130499999999</v>
      </c>
      <c r="Z21" s="21">
        <f>INDEX(Buildings!$J$7:$J$26,MATCH($A21,Buildings!$A$7:$A$26,0))*Assumptions!$B$21</f>
        <v>3280</v>
      </c>
      <c r="AA21" s="21">
        <f>INDEX(CAPEX!$G$7:$G$26,MATCH($A21,CAPEX!$A$7:$A$26,0))*Assumptions!$B$22+L21*Assumptions!$B$23</f>
        <v>6540</v>
      </c>
      <c r="AB21" s="21">
        <f t="shared" si="9"/>
        <v>185527</v>
      </c>
      <c r="AC21" s="21">
        <f t="shared" si="10"/>
        <v>172826.8695</v>
      </c>
      <c r="AD21" s="21">
        <f t="shared" si="11"/>
        <v>12700.130499999999</v>
      </c>
    </row>
    <row r="22" spans="1:30" ht="22.95" customHeight="1">
      <c r="A22" s="6" t="s">
        <v>167</v>
      </c>
      <c r="B22" s="6" t="str">
        <f>INDEX(Buildings!$B$7:$B$26,MATCH($A22,Buildings!$A$7:$A$26,0))</f>
        <v>Pine Archives</v>
      </c>
      <c r="C22" s="8" t="str">
        <f>INDEX(Buildings!$C$7:$C$26,MATCH($A22,Buildings!$A$7:$A$26,0))</f>
        <v>West</v>
      </c>
      <c r="D22" s="8">
        <f>IF(ISNUMBER(INDEX(Buildings!$F$7:$F$26,MATCH($A22,Buildings!$A$7:$A$26,0))),INDEX(Buildings!$F$7:$F$26,MATCH($A22,Buildings!$A$7:$A$26,0)),NA())</f>
        <v>280000</v>
      </c>
      <c r="E22" s="8">
        <f>IF(ISNUMBER(INDEX(Buildings!$G$7:$G$26,MATCH($A22,Buildings!$A$7:$A$26,0))),INDEX(Buildings!$G$7:$G$26,MATCH($A22,Buildings!$A$7:$A$26,0)),NA())</f>
        <v>170000</v>
      </c>
      <c r="F22" s="17">
        <f>IF(INDEX(Buildings!$H$7:$H$26,MATCH($A22,Buildings!$A$7:$A$26,0))&gt;0,INDEX(Buildings!$H$7:$H$26,MATCH($A22,Buildings!$A$7:$A$26,0)),NA())</f>
        <v>0.82</v>
      </c>
      <c r="G22" s="8">
        <f t="shared" si="0"/>
        <v>229600</v>
      </c>
      <c r="H22" s="17">
        <f>INDEX(Buildings!$I$7:$I$26,MATCH($A22,Buildings!$A$7:$A$26,0))</f>
        <v>0.18</v>
      </c>
      <c r="I22" s="8">
        <f t="shared" si="1"/>
        <v>188272</v>
      </c>
      <c r="J22" s="18">
        <f>INDEX(Buildings!$L$7:$L$26,MATCH($A22,Buildings!$A$7:$A$26,0))*Assumptions!$B$12</f>
        <v>3.3</v>
      </c>
      <c r="K22" s="8">
        <f t="shared" si="2"/>
        <v>57052.121212121216</v>
      </c>
      <c r="L22" s="8">
        <f>INDEX(Buildings!$M$7:$M$26,MATCH($A22,Buildings!$A$7:$A$26,0))</f>
        <v>35</v>
      </c>
      <c r="M22" s="8">
        <f>L22*Assumptions!$B$11</f>
        <v>31500</v>
      </c>
      <c r="N22" s="8">
        <f>MIN(M22*INDEX(Buildings!$N$7:$N$26,MATCH($A22,Buildings!$A$7:$A$26,0)),E22+K22)</f>
        <v>25200</v>
      </c>
      <c r="O22" s="8">
        <f t="shared" si="3"/>
        <v>6300</v>
      </c>
      <c r="P22" s="8">
        <f t="shared" si="4"/>
        <v>201852.12121212122</v>
      </c>
      <c r="Q22" s="20">
        <f>D22*Assumptions!$B$9/1000</f>
        <v>51.046800000000005</v>
      </c>
      <c r="R22" s="20">
        <f>E22*Assumptions!$B$10/1000</f>
        <v>22.263199999999998</v>
      </c>
      <c r="S22" s="20">
        <f t="shared" si="5"/>
        <v>73.31</v>
      </c>
      <c r="T22" s="20">
        <f>P22*Assumptions!$B$10/1000</f>
        <v>26.434553793939394</v>
      </c>
      <c r="U22" s="20">
        <f t="shared" si="6"/>
        <v>46.875446206060609</v>
      </c>
      <c r="V22" s="17">
        <f t="shared" si="7"/>
        <v>0.63941408001719557</v>
      </c>
      <c r="W22" s="22">
        <f>(D22*Assumptions!$B$8+E22*Assumptions!$B$7)/100</f>
        <v>56451</v>
      </c>
      <c r="X22" s="22">
        <f>P22*Assumptions!$B$7/100</f>
        <v>49473.954909090913</v>
      </c>
      <c r="Y22" s="22">
        <f t="shared" si="8"/>
        <v>6977.0450909090869</v>
      </c>
      <c r="Z22" s="22">
        <f>INDEX(Buildings!$J$7:$J$26,MATCH($A22,Buildings!$A$7:$A$26,0))*Assumptions!$B$21</f>
        <v>1650</v>
      </c>
      <c r="AA22" s="22">
        <f>INDEX(CAPEX!$G$7:$G$26,MATCH($A22,CAPEX!$A$7:$A$26,0))*Assumptions!$B$22+L22*Assumptions!$B$23</f>
        <v>4020</v>
      </c>
      <c r="AB22" s="22">
        <f t="shared" si="9"/>
        <v>58101</v>
      </c>
      <c r="AC22" s="22">
        <f t="shared" si="10"/>
        <v>53493.954909090913</v>
      </c>
      <c r="AD22" s="22">
        <f t="shared" si="11"/>
        <v>4607.0450909090869</v>
      </c>
    </row>
    <row r="23" spans="1:30" ht="22.95" customHeight="1">
      <c r="A23" s="1" t="s">
        <v>168</v>
      </c>
      <c r="B23" s="1" t="str">
        <f>INDEX(Buildings!$B$7:$B$26,MATCH($A23,Buildings!$A$7:$A$26,0))</f>
        <v>Quartz Physics</v>
      </c>
      <c r="C23" s="7" t="str">
        <f>INDEX(Buildings!$C$7:$C$26,MATCH($A23,Buildings!$A$7:$A$26,0))</f>
        <v>West</v>
      </c>
      <c r="D23" s="7">
        <f>IF(ISNUMBER(INDEX(Buildings!$F$7:$F$26,MATCH($A23,Buildings!$A$7:$A$26,0))),INDEX(Buildings!$F$7:$F$26,MATCH($A23,Buildings!$A$7:$A$26,0)),NA())</f>
        <v>1920000</v>
      </c>
      <c r="E23" s="7">
        <f>IF(ISNUMBER(INDEX(Buildings!$G$7:$G$26,MATCH($A23,Buildings!$A$7:$A$26,0))),INDEX(Buildings!$G$7:$G$26,MATCH($A23,Buildings!$A$7:$A$26,0)),NA())</f>
        <v>3150000</v>
      </c>
      <c r="F23" s="16">
        <f>IF(INDEX(Buildings!$H$7:$H$26,MATCH($A23,Buildings!$A$7:$A$26,0))&gt;0,INDEX(Buildings!$H$7:$H$26,MATCH($A23,Buildings!$A$7:$A$26,0)),NA())</f>
        <v>0.86</v>
      </c>
      <c r="G23" s="7">
        <f t="shared" si="0"/>
        <v>1651200</v>
      </c>
      <c r="H23" s="16">
        <f>INDEX(Buildings!$I$7:$I$26,MATCH($A23,Buildings!$A$7:$A$26,0))</f>
        <v>0.22</v>
      </c>
      <c r="I23" s="7">
        <f t="shared" si="1"/>
        <v>1287936</v>
      </c>
      <c r="J23" s="15">
        <f>INDEX(Buildings!$L$7:$L$26,MATCH($A23,Buildings!$A$7:$A$26,0))*Assumptions!$B$12</f>
        <v>3.4</v>
      </c>
      <c r="K23" s="7">
        <f t="shared" si="2"/>
        <v>378804.70588235295</v>
      </c>
      <c r="L23" s="7">
        <f>INDEX(Buildings!$M$7:$M$26,MATCH($A23,Buildings!$A$7:$A$26,0))</f>
        <v>210</v>
      </c>
      <c r="M23" s="7">
        <f>L23*Assumptions!$B$11</f>
        <v>189000</v>
      </c>
      <c r="N23" s="7">
        <f>MIN(M23*INDEX(Buildings!$N$7:$N$26,MATCH($A23,Buildings!$A$7:$A$26,0)),E23+K23)</f>
        <v>141750</v>
      </c>
      <c r="O23" s="7">
        <f t="shared" si="3"/>
        <v>47250</v>
      </c>
      <c r="P23" s="7">
        <f t="shared" si="4"/>
        <v>3387054.7058823528</v>
      </c>
      <c r="Q23" s="19">
        <f>D23*Assumptions!$B$9/1000</f>
        <v>350.03520000000003</v>
      </c>
      <c r="R23" s="19">
        <f>E23*Assumptions!$B$10/1000</f>
        <v>412.524</v>
      </c>
      <c r="S23" s="19">
        <f t="shared" si="5"/>
        <v>762.55920000000003</v>
      </c>
      <c r="T23" s="19">
        <f>P23*Assumptions!$B$10/1000</f>
        <v>443.56868428235293</v>
      </c>
      <c r="U23" s="19">
        <f t="shared" si="6"/>
        <v>318.9905157176471</v>
      </c>
      <c r="V23" s="16">
        <f t="shared" si="7"/>
        <v>0.41831573957490392</v>
      </c>
      <c r="W23" s="21">
        <f>(D23*Assumptions!$B$8+E23*Assumptions!$B$7)/100</f>
        <v>873441</v>
      </c>
      <c r="X23" s="21">
        <f>P23*Assumptions!$B$7/100</f>
        <v>830167.10841176461</v>
      </c>
      <c r="Y23" s="21">
        <f t="shared" si="8"/>
        <v>43273.89158823539</v>
      </c>
      <c r="Z23" s="21">
        <f>INDEX(Buildings!$J$7:$J$26,MATCH($A23,Buildings!$A$7:$A$26,0))*Assumptions!$B$21</f>
        <v>6370</v>
      </c>
      <c r="AA23" s="21">
        <f>INDEX(CAPEX!$G$7:$G$26,MATCH($A23,CAPEX!$A$7:$A$26,0))*Assumptions!$B$22+L23*Assumptions!$B$23</f>
        <v>13320</v>
      </c>
      <c r="AB23" s="21">
        <f t="shared" si="9"/>
        <v>879811</v>
      </c>
      <c r="AC23" s="21">
        <f t="shared" si="10"/>
        <v>843487.10841176461</v>
      </c>
      <c r="AD23" s="21">
        <f t="shared" si="11"/>
        <v>36323.89158823539</v>
      </c>
    </row>
    <row r="24" spans="1:30" ht="22.95" customHeight="1">
      <c r="A24" s="6" t="s">
        <v>169</v>
      </c>
      <c r="B24" s="6" t="str">
        <f>INDEX(Buildings!$B$7:$B$26,MATCH($A24,Buildings!$A$7:$A$26,0))</f>
        <v>Rowan Graduate House</v>
      </c>
      <c r="C24" s="8" t="str">
        <f>INDEX(Buildings!$C$7:$C$26,MATCH($A24,Buildings!$A$7:$A$26,0))</f>
        <v>West</v>
      </c>
      <c r="D24" s="8">
        <f>IF(ISNUMBER(INDEX(Buildings!$F$7:$F$26,MATCH($A24,Buildings!$A$7:$A$26,0))),INDEX(Buildings!$F$7:$F$26,MATCH($A24,Buildings!$A$7:$A$26,0)),NA())</f>
        <v>610000</v>
      </c>
      <c r="E24" s="8">
        <f>IF(ISNUMBER(INDEX(Buildings!$G$7:$G$26,MATCH($A24,Buildings!$A$7:$A$26,0))),INDEX(Buildings!$G$7:$G$26,MATCH($A24,Buildings!$A$7:$A$26,0)),NA())</f>
        <v>280000</v>
      </c>
      <c r="F24" s="17">
        <f>IF(INDEX(Buildings!$H$7:$H$26,MATCH($A24,Buildings!$A$7:$A$26,0))&gt;0,INDEX(Buildings!$H$7:$H$26,MATCH($A24,Buildings!$A$7:$A$26,0)),NA())</f>
        <v>0.8</v>
      </c>
      <c r="G24" s="8">
        <f t="shared" si="0"/>
        <v>488000</v>
      </c>
      <c r="H24" s="17">
        <f>INDEX(Buildings!$I$7:$I$26,MATCH($A24,Buildings!$A$7:$A$26,0))</f>
        <v>0.12</v>
      </c>
      <c r="I24" s="8">
        <f t="shared" si="1"/>
        <v>429440</v>
      </c>
      <c r="J24" s="18">
        <f>INDEX(Buildings!$L$7:$L$26,MATCH($A24,Buildings!$A$7:$A$26,0))*Assumptions!$B$12</f>
        <v>2.9</v>
      </c>
      <c r="K24" s="8">
        <f t="shared" si="2"/>
        <v>148082.75862068965</v>
      </c>
      <c r="L24" s="8">
        <f>INDEX(Buildings!$M$7:$M$26,MATCH($A24,Buildings!$A$7:$A$26,0))</f>
        <v>65</v>
      </c>
      <c r="M24" s="8">
        <f>L24*Assumptions!$B$11</f>
        <v>58500</v>
      </c>
      <c r="N24" s="8">
        <f>MIN(M24*INDEX(Buildings!$N$7:$N$26,MATCH($A24,Buildings!$A$7:$A$26,0)),E24+K24)</f>
        <v>55575</v>
      </c>
      <c r="O24" s="8">
        <f t="shared" si="3"/>
        <v>2925</v>
      </c>
      <c r="P24" s="8">
        <f t="shared" si="4"/>
        <v>372507.75862068962</v>
      </c>
      <c r="Q24" s="20">
        <f>D24*Assumptions!$B$9/1000</f>
        <v>111.20910000000001</v>
      </c>
      <c r="R24" s="20">
        <f>E24*Assumptions!$B$10/1000</f>
        <v>36.668799999999997</v>
      </c>
      <c r="S24" s="20">
        <f t="shared" si="5"/>
        <v>147.87790000000001</v>
      </c>
      <c r="T24" s="20">
        <f>P24*Assumptions!$B$10/1000</f>
        <v>48.783616068965507</v>
      </c>
      <c r="U24" s="20">
        <f t="shared" si="6"/>
        <v>99.094283931034511</v>
      </c>
      <c r="V24" s="17">
        <f t="shared" si="7"/>
        <v>0.67010881227711849</v>
      </c>
      <c r="W24" s="22">
        <f>(D24*Assumptions!$B$8+E24*Assumptions!$B$7)/100</f>
        <v>100836</v>
      </c>
      <c r="X24" s="22">
        <f>P24*Assumptions!$B$7/100</f>
        <v>91301.651637931034</v>
      </c>
      <c r="Y24" s="22">
        <f t="shared" si="8"/>
        <v>9534.3483620689658</v>
      </c>
      <c r="Z24" s="22">
        <f>INDEX(Buildings!$J$7:$J$26,MATCH($A24,Buildings!$A$7:$A$26,0))*Assumptions!$B$21</f>
        <v>3630</v>
      </c>
      <c r="AA24" s="22">
        <f>INDEX(CAPEX!$G$7:$G$26,MATCH($A24,CAPEX!$A$7:$A$26,0))*Assumptions!$B$22+L24*Assumptions!$B$23</f>
        <v>7980</v>
      </c>
      <c r="AB24" s="22">
        <f t="shared" si="9"/>
        <v>104466</v>
      </c>
      <c r="AC24" s="22">
        <f t="shared" si="10"/>
        <v>99281.651637931034</v>
      </c>
      <c r="AD24" s="22">
        <f t="shared" si="11"/>
        <v>5184.3483620689658</v>
      </c>
    </row>
    <row r="25" spans="1:30" ht="22.95" customHeight="1">
      <c r="A25" s="1" t="s">
        <v>170</v>
      </c>
      <c r="B25" s="1" t="str">
        <f>INDEX(Buildings!$B$7:$B$26,MATCH($A25,Buildings!$A$7:$A$26,0))</f>
        <v>Sycamore Workshop</v>
      </c>
      <c r="C25" s="7" t="str">
        <f>INDEX(Buildings!$C$7:$C$26,MATCH($A25,Buildings!$A$7:$A$26,0))</f>
        <v>West</v>
      </c>
      <c r="D25" s="7">
        <f>IF(ISNUMBER(INDEX(Buildings!$F$7:$F$26,MATCH($A25,Buildings!$A$7:$A$26,0))),INDEX(Buildings!$F$7:$F$26,MATCH($A25,Buildings!$A$7:$A$26,0)),NA())</f>
        <v>1080000</v>
      </c>
      <c r="E25" s="7">
        <f>IF(ISNUMBER(INDEX(Buildings!$G$7:$G$26,MATCH($A25,Buildings!$A$7:$A$26,0))),INDEX(Buildings!$G$7:$G$26,MATCH($A25,Buildings!$A$7:$A$26,0)),NA())</f>
        <v>790000</v>
      </c>
      <c r="F25" s="16">
        <f>IF(INDEX(Buildings!$H$7:$H$26,MATCH($A25,Buildings!$A$7:$A$26,0))&gt;0,INDEX(Buildings!$H$7:$H$26,MATCH($A25,Buildings!$A$7:$A$26,0)),NA())</f>
        <v>0.88</v>
      </c>
      <c r="G25" s="7">
        <f t="shared" si="0"/>
        <v>950400</v>
      </c>
      <c r="H25" s="16">
        <f>INDEX(Buildings!$I$7:$I$26,MATCH($A25,Buildings!$A$7:$A$26,0))</f>
        <v>0.25</v>
      </c>
      <c r="I25" s="7">
        <f t="shared" si="1"/>
        <v>712800</v>
      </c>
      <c r="J25" s="15">
        <f>INDEX(Buildings!$L$7:$L$26,MATCH($A25,Buildings!$A$7:$A$26,0))*Assumptions!$B$12</f>
        <v>3.5</v>
      </c>
      <c r="K25" s="7">
        <f t="shared" si="2"/>
        <v>203657.14285714287</v>
      </c>
      <c r="L25" s="7">
        <f>INDEX(Buildings!$M$7:$M$26,MATCH($A25,Buildings!$A$7:$A$26,0))</f>
        <v>125</v>
      </c>
      <c r="M25" s="7">
        <f>L25*Assumptions!$B$11</f>
        <v>112500</v>
      </c>
      <c r="N25" s="7">
        <f>MIN(M25*INDEX(Buildings!$N$7:$N$26,MATCH($A25,Buildings!$A$7:$A$26,0)),E25+K25)</f>
        <v>78750</v>
      </c>
      <c r="O25" s="7">
        <f t="shared" si="3"/>
        <v>33750</v>
      </c>
      <c r="P25" s="7">
        <f t="shared" si="4"/>
        <v>914907.14285714284</v>
      </c>
      <c r="Q25" s="19">
        <f>D25*Assumptions!$B$9/1000</f>
        <v>196.89479999999998</v>
      </c>
      <c r="R25" s="19">
        <f>E25*Assumptions!$B$10/1000</f>
        <v>103.4584</v>
      </c>
      <c r="S25" s="19">
        <f t="shared" si="5"/>
        <v>300.35319999999996</v>
      </c>
      <c r="T25" s="19">
        <f>P25*Assumptions!$B$10/1000</f>
        <v>119.81623942857142</v>
      </c>
      <c r="U25" s="19">
        <f t="shared" si="6"/>
        <v>180.53696057142855</v>
      </c>
      <c r="V25" s="16">
        <f t="shared" si="7"/>
        <v>0.60108219446780853</v>
      </c>
      <c r="W25" s="21">
        <f>(D25*Assumptions!$B$8+E25*Assumptions!$B$7)/100</f>
        <v>250653</v>
      </c>
      <c r="X25" s="21">
        <f>P25*Assumptions!$B$7/100</f>
        <v>224243.7407142857</v>
      </c>
      <c r="Y25" s="21">
        <f t="shared" si="8"/>
        <v>26409.259285714303</v>
      </c>
      <c r="Z25" s="21">
        <f>INDEX(Buildings!$J$7:$J$26,MATCH($A25,Buildings!$A$7:$A$26,0))*Assumptions!$B$21</f>
        <v>3770</v>
      </c>
      <c r="AA25" s="21">
        <f>INDEX(CAPEX!$G$7:$G$26,MATCH($A25,CAPEX!$A$7:$A$26,0))*Assumptions!$B$22+L25*Assumptions!$B$23</f>
        <v>6900</v>
      </c>
      <c r="AB25" s="21">
        <f t="shared" si="9"/>
        <v>254423</v>
      </c>
      <c r="AC25" s="21">
        <f t="shared" si="10"/>
        <v>231143.7407142857</v>
      </c>
      <c r="AD25" s="21">
        <f t="shared" si="11"/>
        <v>23279.259285714303</v>
      </c>
    </row>
    <row r="26" spans="1:30" ht="22.95" customHeight="1">
      <c r="A26" s="6" t="s">
        <v>171</v>
      </c>
      <c r="B26" s="6" t="str">
        <f>INDEX(Buildings!$B$7:$B$26,MATCH($A26,Buildings!$A$7:$A$26,0))</f>
        <v>Willow Innovation</v>
      </c>
      <c r="C26" s="8" t="str">
        <f>INDEX(Buildings!$C$7:$C$26,MATCH($A26,Buildings!$A$7:$A$26,0))</f>
        <v>West</v>
      </c>
      <c r="D26" s="8">
        <f>IF(ISNUMBER(INDEX(Buildings!$F$7:$F$26,MATCH($A26,Buildings!$A$7:$A$26,0))),INDEX(Buildings!$F$7:$F$26,MATCH($A26,Buildings!$A$7:$A$26,0)),NA())</f>
        <v>920000</v>
      </c>
      <c r="E26" s="8">
        <f>IF(ISNUMBER(INDEX(Buildings!$G$7:$G$26,MATCH($A26,Buildings!$A$7:$A$26,0))),INDEX(Buildings!$G$7:$G$26,MATCH($A26,Buildings!$A$7:$A$26,0)),NA())</f>
        <v>1660000</v>
      </c>
      <c r="F26" s="17">
        <f>IF(INDEX(Buildings!$H$7:$H$26,MATCH($A26,Buildings!$A$7:$A$26,0))&gt;0,INDEX(Buildings!$H$7:$H$26,MATCH($A26,Buildings!$A$7:$A$26,0)),NA())</f>
        <v>0.84</v>
      </c>
      <c r="G26" s="8">
        <f t="shared" si="0"/>
        <v>772800</v>
      </c>
      <c r="H26" s="17">
        <f>INDEX(Buildings!$I$7:$I$26,MATCH($A26,Buildings!$A$7:$A$26,0))</f>
        <v>0.16</v>
      </c>
      <c r="I26" s="8">
        <f t="shared" si="1"/>
        <v>649152</v>
      </c>
      <c r="J26" s="18">
        <f>INDEX(Buildings!$L$7:$L$26,MATCH($A26,Buildings!$A$7:$A$26,0))*Assumptions!$B$12</f>
        <v>3.1</v>
      </c>
      <c r="K26" s="8">
        <f t="shared" si="2"/>
        <v>209403.87096774194</v>
      </c>
      <c r="L26" s="8">
        <f>INDEX(Buildings!$M$7:$M$26,MATCH($A26,Buildings!$A$7:$A$26,0))</f>
        <v>155</v>
      </c>
      <c r="M26" s="8">
        <f>L26*Assumptions!$B$11</f>
        <v>139500</v>
      </c>
      <c r="N26" s="8">
        <f>MIN(M26*INDEX(Buildings!$N$7:$N$26,MATCH($A26,Buildings!$A$7:$A$26,0)),E26+K26)</f>
        <v>118575</v>
      </c>
      <c r="O26" s="8">
        <f t="shared" si="3"/>
        <v>20925</v>
      </c>
      <c r="P26" s="8">
        <f t="shared" si="4"/>
        <v>1750828.8709677421</v>
      </c>
      <c r="Q26" s="20">
        <f>D26*Assumptions!$B$9/1000</f>
        <v>167.7252</v>
      </c>
      <c r="R26" s="20">
        <f>E26*Assumptions!$B$10/1000</f>
        <v>217.39359999999996</v>
      </c>
      <c r="S26" s="20">
        <f t="shared" si="5"/>
        <v>385.11879999999996</v>
      </c>
      <c r="T26" s="20">
        <f>P26*Assumptions!$B$10/1000</f>
        <v>229.28854894193549</v>
      </c>
      <c r="U26" s="20">
        <f t="shared" si="6"/>
        <v>155.83025105806448</v>
      </c>
      <c r="V26" s="17">
        <f t="shared" si="7"/>
        <v>0.40462904189061788</v>
      </c>
      <c r="W26" s="22">
        <f>(D26*Assumptions!$B$8+E26*Assumptions!$B$7)/100</f>
        <v>455442</v>
      </c>
      <c r="X26" s="22">
        <f>P26*Assumptions!$B$7/100</f>
        <v>429128.15627419361</v>
      </c>
      <c r="Y26" s="22">
        <f t="shared" si="8"/>
        <v>26313.843725806393</v>
      </c>
      <c r="Z26" s="22">
        <f>INDEX(Buildings!$J$7:$J$26,MATCH($A26,Buildings!$A$7:$A$26,0))*Assumptions!$B$21</f>
        <v>5120</v>
      </c>
      <c r="AA26" s="22">
        <f>INDEX(CAPEX!$G$7:$G$26,MATCH($A26,CAPEX!$A$7:$A$26,0))*Assumptions!$B$22+L26*Assumptions!$B$23</f>
        <v>10860</v>
      </c>
      <c r="AB26" s="22">
        <f t="shared" si="9"/>
        <v>460562</v>
      </c>
      <c r="AC26" s="22">
        <f t="shared" si="10"/>
        <v>439988.15627419361</v>
      </c>
      <c r="AD26" s="22">
        <f t="shared" si="11"/>
        <v>20573.843725806393</v>
      </c>
    </row>
    <row r="27" spans="1:30" ht="22.95" customHeight="1">
      <c r="A27" s="1"/>
      <c r="B27" s="1"/>
      <c r="C27" s="7"/>
      <c r="D27" s="7"/>
      <c r="E27" s="7"/>
      <c r="F27" s="16"/>
      <c r="G27" s="7"/>
      <c r="H27" s="16"/>
      <c r="I27" s="7"/>
      <c r="J27" s="7"/>
      <c r="K27" s="7"/>
      <c r="L27" s="7"/>
      <c r="M27" s="7"/>
      <c r="N27" s="7"/>
      <c r="O27" s="7"/>
      <c r="P27" s="7"/>
      <c r="Q27" s="19"/>
      <c r="R27" s="19"/>
      <c r="S27" s="19"/>
      <c r="T27" s="19"/>
      <c r="U27" s="19"/>
      <c r="V27" s="16"/>
      <c r="W27" s="21"/>
      <c r="X27" s="21"/>
      <c r="Y27" s="21"/>
      <c r="Z27" s="21"/>
      <c r="AA27" s="21"/>
      <c r="AB27" s="21"/>
      <c r="AC27" s="21"/>
      <c r="AD27" s="21"/>
    </row>
    <row r="28" spans="1:30" ht="22.95" customHeight="1">
      <c r="A28" s="25"/>
      <c r="B28" s="25" t="s">
        <v>172</v>
      </c>
      <c r="C28" s="26"/>
      <c r="D28" s="26">
        <f>SUM(D7:D26)</f>
        <v>19000000</v>
      </c>
      <c r="E28" s="26">
        <f>SUM(E7:E26)</f>
        <v>23200000</v>
      </c>
      <c r="F28" s="27"/>
      <c r="G28" s="26">
        <f>SUM(G7:G26)</f>
        <v>15921600</v>
      </c>
      <c r="H28" s="27"/>
      <c r="I28" s="26">
        <f>SUM(I7:I26)</f>
        <v>13009760</v>
      </c>
      <c r="J28" s="26"/>
      <c r="K28" s="26">
        <f t="shared" ref="K28:U28" si="12">SUM(K7:K26)</f>
        <v>4069651.9148373278</v>
      </c>
      <c r="L28" s="26">
        <f t="shared" si="12"/>
        <v>2260</v>
      </c>
      <c r="M28" s="26">
        <f t="shared" si="12"/>
        <v>2034000</v>
      </c>
      <c r="N28" s="26">
        <f t="shared" si="12"/>
        <v>1647225</v>
      </c>
      <c r="O28" s="26">
        <f t="shared" si="12"/>
        <v>386775</v>
      </c>
      <c r="P28" s="26">
        <f t="shared" si="12"/>
        <v>25622426.914837327</v>
      </c>
      <c r="Q28" s="28">
        <f t="shared" si="12"/>
        <v>3463.8900000000003</v>
      </c>
      <c r="R28" s="28">
        <f t="shared" si="12"/>
        <v>3038.2719999999995</v>
      </c>
      <c r="S28" s="28">
        <f t="shared" si="12"/>
        <v>6502.1620000000012</v>
      </c>
      <c r="T28" s="28">
        <f t="shared" si="12"/>
        <v>3355.5130287670959</v>
      </c>
      <c r="U28" s="28">
        <f t="shared" si="12"/>
        <v>3146.6489712329035</v>
      </c>
      <c r="V28" s="27">
        <f>U28/S28</f>
        <v>0.4839388762126971</v>
      </c>
      <c r="W28" s="29">
        <f t="shared" ref="W28:AD28" si="13">SUM(W7:W26)</f>
        <v>6689520</v>
      </c>
      <c r="X28" s="29">
        <f t="shared" si="13"/>
        <v>6280056.8368266299</v>
      </c>
      <c r="Y28" s="29">
        <f t="shared" si="13"/>
        <v>409463.16317337099</v>
      </c>
      <c r="Z28" s="29">
        <f t="shared" si="13"/>
        <v>81660</v>
      </c>
      <c r="AA28" s="29">
        <f t="shared" si="13"/>
        <v>167520</v>
      </c>
      <c r="AB28" s="29">
        <f t="shared" si="13"/>
        <v>6771180</v>
      </c>
      <c r="AC28" s="29">
        <f t="shared" si="13"/>
        <v>6447576.8368266299</v>
      </c>
      <c r="AD28" s="29">
        <f t="shared" si="13"/>
        <v>323603.16317337099</v>
      </c>
    </row>
    <row r="29" spans="1:30" ht="22.9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ht="22.9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ht="22.9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ht="22.9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</sheetData>
  <conditionalFormatting sqref="Y7:Y26">
    <cfRule type="cellIs" dxfId="6" priority="1" operator="lessThan">
      <formula>0</formula>
    </cfRule>
  </conditionalFormatting>
  <conditionalFormatting sqref="AD7:AD26">
    <cfRule type="cellIs" dxfId="5" priority="2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2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C7" sqref="C7"/>
    </sheetView>
  </sheetViews>
  <sheetFormatPr defaultRowHeight="13.8"/>
  <cols>
    <col min="1" max="1" width="17" customWidth="1"/>
    <col min="2" max="2" width="29" customWidth="1"/>
    <col min="3" max="22" width="17" customWidth="1"/>
  </cols>
  <sheetData>
    <row r="1" spans="1:22" ht="22.9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2.95" customHeight="1">
      <c r="A2" s="2" t="s">
        <v>173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22.9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2.95" customHeight="1">
      <c r="A4" s="4" t="s">
        <v>174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22.9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57" customHeight="1">
      <c r="A6" s="5" t="s">
        <v>125</v>
      </c>
      <c r="B6" s="5" t="s">
        <v>126</v>
      </c>
      <c r="C6" s="5" t="s">
        <v>25</v>
      </c>
      <c r="D6" s="5" t="s">
        <v>175</v>
      </c>
      <c r="E6" s="5" t="s">
        <v>176</v>
      </c>
      <c r="F6" s="5" t="s">
        <v>177</v>
      </c>
      <c r="G6" s="5" t="s">
        <v>178</v>
      </c>
      <c r="H6" s="5" t="s">
        <v>84</v>
      </c>
      <c r="I6" s="5" t="s">
        <v>30</v>
      </c>
      <c r="J6" s="5" t="s">
        <v>179</v>
      </c>
      <c r="K6" s="5" t="s">
        <v>180</v>
      </c>
      <c r="L6" s="5" t="s">
        <v>181</v>
      </c>
      <c r="M6" s="5" t="s">
        <v>182</v>
      </c>
      <c r="N6" s="5" t="s">
        <v>183</v>
      </c>
      <c r="O6" s="5" t="s">
        <v>184</v>
      </c>
      <c r="P6" s="5" t="s">
        <v>185</v>
      </c>
      <c r="Q6" s="5" t="s">
        <v>186</v>
      </c>
      <c r="R6" s="5" t="s">
        <v>187</v>
      </c>
      <c r="S6" s="5" t="s">
        <v>188</v>
      </c>
      <c r="T6" s="5" t="s">
        <v>27</v>
      </c>
      <c r="U6" s="5" t="s">
        <v>189</v>
      </c>
      <c r="V6" s="5" t="s">
        <v>190</v>
      </c>
    </row>
    <row r="7" spans="1:22" ht="22.95" customHeight="1">
      <c r="A7" s="1" t="s">
        <v>152</v>
      </c>
      <c r="B7" s="1" t="str">
        <f>INDEX(Buildings!$B$7:$B$26,MATCH($A7,Buildings!$A$7:$A$26,0))</f>
        <v>Alder Library</v>
      </c>
      <c r="C7" s="7" t="str">
        <f>INDEX(Buildings!$C$7:$C$26,MATCH($A7,Buildings!$A$7:$A$26,0))</f>
        <v>North</v>
      </c>
      <c r="D7" s="7">
        <f>INDEX(Buildings!$J$7:$J$26,MATCH($A7,Buildings!$A$7:$A$26,0))*(1-INDEX(Buildings!$K$7:$K$26,MATCH($A7,Buildings!$A$7:$A$26,0)))</f>
        <v>267.75</v>
      </c>
      <c r="E7" s="7">
        <f>Assumptions!$B$13</f>
        <v>100</v>
      </c>
      <c r="F7" s="7">
        <f t="shared" ref="F7:F26" si="0">ROUNDUP(D7/E7,0)</f>
        <v>3</v>
      </c>
      <c r="G7" s="7">
        <f t="shared" ref="G7:G26" si="1">F7*E7</f>
        <v>300</v>
      </c>
      <c r="H7" s="15">
        <f>Assumptions!$B$14</f>
        <v>2.5</v>
      </c>
      <c r="I7" s="7">
        <f t="shared" ref="I7:I26" si="2">G7/H7</f>
        <v>120</v>
      </c>
      <c r="J7" s="7">
        <f>INDEX(Buildings!$P$7:$P$26,MATCH($A7,Buildings!$A$7:$A$26,0))</f>
        <v>55</v>
      </c>
      <c r="K7" s="7">
        <f t="shared" ref="K7:K26" si="3">MAX(0,I7-J7)</f>
        <v>65</v>
      </c>
      <c r="L7" s="21">
        <f>G7*Assumptions!$B$15</f>
        <v>300000</v>
      </c>
      <c r="M7" s="21">
        <f>K7*Assumptions!$B$18</f>
        <v>29250</v>
      </c>
      <c r="N7" s="21">
        <f>INDEX(Buildings!$M$7:$M$26,MATCH($A7,Buildings!$A$7:$A$26,0))*Assumptions!$B$16</f>
        <v>99000</v>
      </c>
      <c r="O7" s="21">
        <f>INDEX(Buildings!$O$7:$O$26,MATCH($A7,Buildings!$A$7:$A$26,0))*Assumptions!$B$17</f>
        <v>201600</v>
      </c>
      <c r="P7" s="21">
        <f t="shared" ref="P7:P26" si="4">SUM(L7:O7)</f>
        <v>629850</v>
      </c>
      <c r="Q7" s="21">
        <f>P7*Assumptions!$B$19</f>
        <v>75582</v>
      </c>
      <c r="R7" s="21">
        <f>(P7+Q7)*Assumptions!$B$20</f>
        <v>141086.39999999999</v>
      </c>
      <c r="S7" s="21">
        <f t="shared" ref="S7:S26" si="5">SUM(P7:R7)</f>
        <v>846518.4</v>
      </c>
      <c r="T7" s="21">
        <f>INDEX(Energy!$AD$7:$AD$26,MATCH($A7,Energy!$A$7:$A$26,0))</f>
        <v>14325.071272727248</v>
      </c>
      <c r="U7" s="23">
        <f t="shared" ref="U7:U26" si="6">IF(T7&gt;0,S7/T7,"No saving")</f>
        <v>59.09348609047705</v>
      </c>
      <c r="V7" s="21">
        <f>IF(INDEX(Energy!$U$7:$U$26,MATCH($A7,Energy!$A$7:$A$26,0))&gt;0,S7/INDEX(Energy!$U$7:$U$26,MATCH($A7,Energy!$A$7:$A$26,0)),"n.a.")</f>
        <v>8064.0560097682228</v>
      </c>
    </row>
    <row r="8" spans="1:22" ht="22.95" customHeight="1">
      <c r="A8" s="6" t="s">
        <v>153</v>
      </c>
      <c r="B8" s="6" t="str">
        <f>INDEX(Buildings!$B$7:$B$26,MATCH($A8,Buildings!$A$7:$A$26,0))</f>
        <v>Birch Teaching Centre</v>
      </c>
      <c r="C8" s="8" t="str">
        <f>INDEX(Buildings!$C$7:$C$26,MATCH($A8,Buildings!$A$7:$A$26,0))</f>
        <v>North</v>
      </c>
      <c r="D8" s="8">
        <f>INDEX(Buildings!$J$7:$J$26,MATCH($A8,Buildings!$A$7:$A$26,0))*(1-INDEX(Buildings!$K$7:$K$26,MATCH($A8,Buildings!$A$7:$A$26,0)))</f>
        <v>201.60000000000002</v>
      </c>
      <c r="E8" s="8">
        <f>Assumptions!$B$13</f>
        <v>100</v>
      </c>
      <c r="F8" s="8">
        <f t="shared" si="0"/>
        <v>3</v>
      </c>
      <c r="G8" s="8">
        <f t="shared" si="1"/>
        <v>300</v>
      </c>
      <c r="H8" s="18">
        <f>Assumptions!$B$14</f>
        <v>2.5</v>
      </c>
      <c r="I8" s="8">
        <f t="shared" si="2"/>
        <v>120</v>
      </c>
      <c r="J8" s="8">
        <f>INDEX(Buildings!$P$7:$P$26,MATCH($A8,Buildings!$A$7:$A$26,0))</f>
        <v>40</v>
      </c>
      <c r="K8" s="8">
        <f t="shared" si="3"/>
        <v>80</v>
      </c>
      <c r="L8" s="22">
        <f>G8*Assumptions!$B$15</f>
        <v>300000</v>
      </c>
      <c r="M8" s="22">
        <f>K8*Assumptions!$B$18</f>
        <v>36000</v>
      </c>
      <c r="N8" s="22">
        <f>INDEX(Buildings!$M$7:$M$26,MATCH($A8,Buildings!$A$7:$A$26,0))*Assumptions!$B$16</f>
        <v>82500</v>
      </c>
      <c r="O8" s="22">
        <f>INDEX(Buildings!$O$7:$O$26,MATCH($A8,Buildings!$A$7:$A$26,0))*Assumptions!$B$17</f>
        <v>201600</v>
      </c>
      <c r="P8" s="22">
        <f t="shared" si="4"/>
        <v>620100</v>
      </c>
      <c r="Q8" s="22">
        <f>P8*Assumptions!$B$19</f>
        <v>74412</v>
      </c>
      <c r="R8" s="22">
        <f>(P8+Q8)*Assumptions!$B$20</f>
        <v>138902.39999999999</v>
      </c>
      <c r="S8" s="22">
        <f t="shared" si="5"/>
        <v>833414.4</v>
      </c>
      <c r="T8" s="22">
        <f>INDEX(Energy!$AD$7:$AD$26,MATCH($A8,Energy!$A$7:$A$26,0))</f>
        <v>10894.225499999986</v>
      </c>
      <c r="U8" s="24">
        <f t="shared" si="6"/>
        <v>76.500564450405506</v>
      </c>
      <c r="V8" s="22">
        <f>IF(INDEX(Energy!$U$7:$U$26,MATCH($A8,Energy!$A$7:$A$26,0))&gt;0,S8/INDEX(Energy!$U$7:$U$26,MATCH($A8,Energy!$A$7:$A$26,0)),"n.a.")</f>
        <v>9642.5676476910739</v>
      </c>
    </row>
    <row r="9" spans="1:22" ht="22.95" customHeight="1">
      <c r="A9" s="1" t="s">
        <v>154</v>
      </c>
      <c r="B9" s="1" t="str">
        <f>INDEX(Buildings!$B$7:$B$26,MATCH($A9,Buildings!$A$7:$A$26,0))</f>
        <v>Cedar Chemistry Lab</v>
      </c>
      <c r="C9" s="7" t="str">
        <f>INDEX(Buildings!$C$7:$C$26,MATCH($A9,Buildings!$A$7:$A$26,0))</f>
        <v>North</v>
      </c>
      <c r="D9" s="7">
        <f>INDEX(Buildings!$J$7:$J$26,MATCH($A9,Buildings!$A$7:$A$26,0))*(1-INDEX(Buildings!$K$7:$K$26,MATCH($A9,Buildings!$A$7:$A$26,0)))</f>
        <v>673.2</v>
      </c>
      <c r="E9" s="7">
        <f>Assumptions!$B$13</f>
        <v>100</v>
      </c>
      <c r="F9" s="7">
        <f t="shared" si="0"/>
        <v>7</v>
      </c>
      <c r="G9" s="7">
        <f t="shared" si="1"/>
        <v>700</v>
      </c>
      <c r="H9" s="15">
        <f>Assumptions!$B$14</f>
        <v>2.5</v>
      </c>
      <c r="I9" s="7">
        <f t="shared" si="2"/>
        <v>280</v>
      </c>
      <c r="J9" s="7">
        <f>INDEX(Buildings!$P$7:$P$26,MATCH($A9,Buildings!$A$7:$A$26,0))</f>
        <v>90</v>
      </c>
      <c r="K9" s="7">
        <f t="shared" si="3"/>
        <v>190</v>
      </c>
      <c r="L9" s="21">
        <f>G9*Assumptions!$B$15</f>
        <v>700000</v>
      </c>
      <c r="M9" s="21">
        <f>K9*Assumptions!$B$18</f>
        <v>85500</v>
      </c>
      <c r="N9" s="21">
        <f>INDEX(Buildings!$M$7:$M$26,MATCH($A9,Buildings!$A$7:$A$26,0))*Assumptions!$B$16</f>
        <v>165000</v>
      </c>
      <c r="O9" s="21">
        <f>INDEX(Buildings!$O$7:$O$26,MATCH($A9,Buildings!$A$7:$A$26,0))*Assumptions!$B$17</f>
        <v>217600</v>
      </c>
      <c r="P9" s="21">
        <f t="shared" si="4"/>
        <v>1168100</v>
      </c>
      <c r="Q9" s="21">
        <f>P9*Assumptions!$B$19</f>
        <v>140172</v>
      </c>
      <c r="R9" s="21">
        <f>(P9+Q9)*Assumptions!$B$20</f>
        <v>261654.40000000002</v>
      </c>
      <c r="S9" s="21">
        <f t="shared" si="5"/>
        <v>1569926.4</v>
      </c>
      <c r="T9" s="21">
        <f>INDEX(Energy!$AD$7:$AD$26,MATCH($A9,Energy!$A$7:$A$26,0))</f>
        <v>13257.843275862047</v>
      </c>
      <c r="U9" s="23">
        <f t="shared" si="6"/>
        <v>118.41491616198945</v>
      </c>
      <c r="V9" s="21">
        <f>IF(INDEX(Energy!$U$7:$U$26,MATCH($A9,Energy!$A$7:$A$26,0))&gt;0,S9/INDEX(Energy!$U$7:$U$26,MATCH($A9,Energy!$A$7:$A$26,0)),"n.a.")</f>
        <v>5821.7349512184055</v>
      </c>
    </row>
    <row r="10" spans="1:22" ht="22.95" customHeight="1">
      <c r="A10" s="6" t="s">
        <v>155</v>
      </c>
      <c r="B10" s="6" t="str">
        <f>INDEX(Buildings!$B$7:$B$26,MATCH($A10,Buildings!$A$7:$A$26,0))</f>
        <v>Dove Administration</v>
      </c>
      <c r="C10" s="8" t="str">
        <f>INDEX(Buildings!$C$7:$C$26,MATCH($A10,Buildings!$A$7:$A$26,0))</f>
        <v>North</v>
      </c>
      <c r="D10" s="8">
        <f>INDEX(Buildings!$J$7:$J$26,MATCH($A10,Buildings!$A$7:$A$26,0))*(1-INDEX(Buildings!$K$7:$K$26,MATCH($A10,Buildings!$A$7:$A$26,0)))</f>
        <v>121.68</v>
      </c>
      <c r="E10" s="8">
        <f>Assumptions!$B$13</f>
        <v>100</v>
      </c>
      <c r="F10" s="8">
        <f t="shared" si="0"/>
        <v>2</v>
      </c>
      <c r="G10" s="8">
        <f t="shared" si="1"/>
        <v>200</v>
      </c>
      <c r="H10" s="18">
        <f>Assumptions!$B$14</f>
        <v>2.5</v>
      </c>
      <c r="I10" s="8">
        <f t="shared" si="2"/>
        <v>80</v>
      </c>
      <c r="J10" s="8">
        <f>INDEX(Buildings!$P$7:$P$26,MATCH($A10,Buildings!$A$7:$A$26,0))</f>
        <v>25</v>
      </c>
      <c r="K10" s="8">
        <f t="shared" si="3"/>
        <v>55</v>
      </c>
      <c r="L10" s="22">
        <f>G10*Assumptions!$B$15</f>
        <v>200000</v>
      </c>
      <c r="M10" s="22">
        <f>K10*Assumptions!$B$18</f>
        <v>24750</v>
      </c>
      <c r="N10" s="22">
        <f>INDEX(Buildings!$M$7:$M$26,MATCH($A10,Buildings!$A$7:$A$26,0))*Assumptions!$B$16</f>
        <v>44000</v>
      </c>
      <c r="O10" s="22">
        <f>INDEX(Buildings!$O$7:$O$26,MATCH($A10,Buildings!$A$7:$A$26,0))*Assumptions!$B$17</f>
        <v>153600</v>
      </c>
      <c r="P10" s="22">
        <f t="shared" si="4"/>
        <v>422350</v>
      </c>
      <c r="Q10" s="22">
        <f>P10*Assumptions!$B$19</f>
        <v>50682</v>
      </c>
      <c r="R10" s="22">
        <f>(P10+Q10)*Assumptions!$B$20</f>
        <v>94606.400000000009</v>
      </c>
      <c r="S10" s="22">
        <f t="shared" si="5"/>
        <v>567638.4</v>
      </c>
      <c r="T10" s="22">
        <f>INDEX(Energy!$AD$7:$AD$26,MATCH($A10,Energy!$A$7:$A$26,0))</f>
        <v>5696.6742857142817</v>
      </c>
      <c r="U10" s="24">
        <f t="shared" si="6"/>
        <v>99.643822260206022</v>
      </c>
      <c r="V10" s="22">
        <f>IF(INDEX(Energy!$U$7:$U$26,MATCH($A10,Energy!$A$7:$A$26,0))&gt;0,S10/INDEX(Energy!$U$7:$U$26,MATCH($A10,Energy!$A$7:$A$26,0)),"n.a.")</f>
        <v>10882.482691992245</v>
      </c>
    </row>
    <row r="11" spans="1:22" ht="22.95" customHeight="1">
      <c r="A11" s="1" t="s">
        <v>156</v>
      </c>
      <c r="B11" s="1" t="str">
        <f>INDEX(Buildings!$B$7:$B$26,MATCH($A11,Buildings!$A$7:$A$26,0))</f>
        <v>Elm Residence</v>
      </c>
      <c r="C11" s="7" t="str">
        <f>INDEX(Buildings!$C$7:$C$26,MATCH($A11,Buildings!$A$7:$A$26,0))</f>
        <v>North</v>
      </c>
      <c r="D11" s="7">
        <f>INDEX(Buildings!$J$7:$J$26,MATCH($A11,Buildings!$A$7:$A$26,0))*(1-INDEX(Buildings!$K$7:$K$26,MATCH($A11,Buildings!$A$7:$A$26,0)))</f>
        <v>367.2</v>
      </c>
      <c r="E11" s="7">
        <f>Assumptions!$B$13</f>
        <v>100</v>
      </c>
      <c r="F11" s="7">
        <f t="shared" si="0"/>
        <v>4</v>
      </c>
      <c r="G11" s="7">
        <f t="shared" si="1"/>
        <v>400</v>
      </c>
      <c r="H11" s="15">
        <f>Assumptions!$B$14</f>
        <v>2.5</v>
      </c>
      <c r="I11" s="7">
        <f t="shared" si="2"/>
        <v>160</v>
      </c>
      <c r="J11" s="7">
        <f>INDEX(Buildings!$P$7:$P$26,MATCH($A11,Buildings!$A$7:$A$26,0))</f>
        <v>50</v>
      </c>
      <c r="K11" s="7">
        <f t="shared" si="3"/>
        <v>110</v>
      </c>
      <c r="L11" s="21">
        <f>G11*Assumptions!$B$15</f>
        <v>400000</v>
      </c>
      <c r="M11" s="21">
        <f>K11*Assumptions!$B$18</f>
        <v>49500</v>
      </c>
      <c r="N11" s="21">
        <f>INDEX(Buildings!$M$7:$M$26,MATCH($A11,Buildings!$A$7:$A$26,0))*Assumptions!$B$16</f>
        <v>121000</v>
      </c>
      <c r="O11" s="21">
        <f>INDEX(Buildings!$O$7:$O$26,MATCH($A11,Buildings!$A$7:$A$26,0))*Assumptions!$B$17</f>
        <v>259200</v>
      </c>
      <c r="P11" s="21">
        <f t="shared" si="4"/>
        <v>829700</v>
      </c>
      <c r="Q11" s="21">
        <f>P11*Assumptions!$B$19</f>
        <v>99564</v>
      </c>
      <c r="R11" s="21">
        <f>(P11+Q11)*Assumptions!$B$20</f>
        <v>185852.80000000002</v>
      </c>
      <c r="S11" s="21">
        <f t="shared" si="5"/>
        <v>1115116.8</v>
      </c>
      <c r="T11" s="21">
        <f>INDEX(Energy!$AD$7:$AD$26,MATCH($A11,Energy!$A$7:$A$26,0))</f>
        <v>13377.483967741922</v>
      </c>
      <c r="U11" s="23">
        <f t="shared" si="6"/>
        <v>83.357737724744084</v>
      </c>
      <c r="V11" s="21">
        <f>IF(INDEX(Energy!$U$7:$U$26,MATCH($A11,Energy!$A$7:$A$26,0))&gt;0,S11/INDEX(Energy!$U$7:$U$26,MATCH($A11,Energy!$A$7:$A$26,0)),"n.a.")</f>
        <v>6694.497873239211</v>
      </c>
    </row>
    <row r="12" spans="1:22" ht="22.95" customHeight="1">
      <c r="A12" s="6" t="s">
        <v>157</v>
      </c>
      <c r="B12" s="6" t="str">
        <f>INDEX(Buildings!$B$7:$B$26,MATCH($A12,Buildings!$A$7:$A$26,0))</f>
        <v>Fern Engineering</v>
      </c>
      <c r="C12" s="8" t="str">
        <f>INDEX(Buildings!$C$7:$C$26,MATCH($A12,Buildings!$A$7:$A$26,0))</f>
        <v>Central</v>
      </c>
      <c r="D12" s="8">
        <f>INDEX(Buildings!$J$7:$J$26,MATCH($A12,Buildings!$A$7:$A$26,0))*(1-INDEX(Buildings!$K$7:$K$26,MATCH($A12,Buildings!$A$7:$A$26,0)))</f>
        <v>484.5</v>
      </c>
      <c r="E12" s="8">
        <f>Assumptions!$B$13</f>
        <v>100</v>
      </c>
      <c r="F12" s="8">
        <f t="shared" si="0"/>
        <v>5</v>
      </c>
      <c r="G12" s="8">
        <f t="shared" si="1"/>
        <v>500</v>
      </c>
      <c r="H12" s="18">
        <f>Assumptions!$B$14</f>
        <v>2.5</v>
      </c>
      <c r="I12" s="8">
        <f t="shared" si="2"/>
        <v>200</v>
      </c>
      <c r="J12" s="8">
        <f>INDEX(Buildings!$P$7:$P$26,MATCH($A12,Buildings!$A$7:$A$26,0))</f>
        <v>55</v>
      </c>
      <c r="K12" s="8">
        <f t="shared" si="3"/>
        <v>145</v>
      </c>
      <c r="L12" s="22">
        <f>G12*Assumptions!$B$15</f>
        <v>500000</v>
      </c>
      <c r="M12" s="22">
        <f>K12*Assumptions!$B$18</f>
        <v>65250</v>
      </c>
      <c r="N12" s="22">
        <f>INDEX(Buildings!$M$7:$M$26,MATCH($A12,Buildings!$A$7:$A$26,0))*Assumptions!$B$16</f>
        <v>198000</v>
      </c>
      <c r="O12" s="22">
        <f>INDEX(Buildings!$O$7:$O$26,MATCH($A12,Buildings!$A$7:$A$26,0))*Assumptions!$B$17</f>
        <v>364800</v>
      </c>
      <c r="P12" s="22">
        <f t="shared" si="4"/>
        <v>1128050</v>
      </c>
      <c r="Q12" s="22">
        <f>P12*Assumptions!$B$19</f>
        <v>135366</v>
      </c>
      <c r="R12" s="22">
        <f>(P12+Q12)*Assumptions!$B$20</f>
        <v>252683.2</v>
      </c>
      <c r="S12" s="22">
        <f t="shared" si="5"/>
        <v>1516099.2</v>
      </c>
      <c r="T12" s="22">
        <f>INDEX(Energy!$AD$7:$AD$26,MATCH($A12,Energy!$A$7:$A$26,0))</f>
        <v>30278.995272727218</v>
      </c>
      <c r="U12" s="24">
        <f t="shared" si="6"/>
        <v>50.070987704323699</v>
      </c>
      <c r="V12" s="22">
        <f>IF(INDEX(Energy!$U$7:$U$26,MATCH($A12,Energy!$A$7:$A$26,0))&gt;0,S12/INDEX(Energy!$U$7:$U$26,MATCH($A12,Energy!$A$7:$A$26,0)),"n.a.")</f>
        <v>6498.7072804398458</v>
      </c>
    </row>
    <row r="13" spans="1:22" ht="22.95" customHeight="1">
      <c r="A13" s="1" t="s">
        <v>158</v>
      </c>
      <c r="B13" s="1" t="str">
        <f>INDEX(Buildings!$B$7:$B$26,MATCH($A13,Buildings!$A$7:$A$26,0))</f>
        <v>Grove Humanities</v>
      </c>
      <c r="C13" s="7" t="str">
        <f>INDEX(Buildings!$C$7:$C$26,MATCH($A13,Buildings!$A$7:$A$26,0))</f>
        <v>Central</v>
      </c>
      <c r="D13" s="7">
        <f>INDEX(Buildings!$J$7:$J$26,MATCH($A13,Buildings!$A$7:$A$26,0))*(1-INDEX(Buildings!$K$7:$K$26,MATCH($A13,Buildings!$A$7:$A$26,0)))</f>
        <v>179.20000000000002</v>
      </c>
      <c r="E13" s="7">
        <f>Assumptions!$B$13</f>
        <v>100</v>
      </c>
      <c r="F13" s="7">
        <f t="shared" si="0"/>
        <v>2</v>
      </c>
      <c r="G13" s="7">
        <f t="shared" si="1"/>
        <v>200</v>
      </c>
      <c r="H13" s="15">
        <f>Assumptions!$B$14</f>
        <v>2.5</v>
      </c>
      <c r="I13" s="7">
        <f t="shared" si="2"/>
        <v>80</v>
      </c>
      <c r="J13" s="7">
        <f>INDEX(Buildings!$P$7:$P$26,MATCH($A13,Buildings!$A$7:$A$26,0))</f>
        <v>40</v>
      </c>
      <c r="K13" s="7">
        <f t="shared" si="3"/>
        <v>40</v>
      </c>
      <c r="L13" s="21">
        <f>G13*Assumptions!$B$15</f>
        <v>200000</v>
      </c>
      <c r="M13" s="21">
        <f>K13*Assumptions!$B$18</f>
        <v>18000</v>
      </c>
      <c r="N13" s="21">
        <f>INDEX(Buildings!$M$7:$M$26,MATCH($A13,Buildings!$A$7:$A$26,0))*Assumptions!$B$16</f>
        <v>66000</v>
      </c>
      <c r="O13" s="21">
        <f>INDEX(Buildings!$O$7:$O$26,MATCH($A13,Buildings!$A$7:$A$26,0))*Assumptions!$B$17</f>
        <v>179200</v>
      </c>
      <c r="P13" s="21">
        <f t="shared" si="4"/>
        <v>463200</v>
      </c>
      <c r="Q13" s="21">
        <f>P13*Assumptions!$B$19</f>
        <v>55584</v>
      </c>
      <c r="R13" s="21">
        <f>(P13+Q13)*Assumptions!$B$20</f>
        <v>103756.8</v>
      </c>
      <c r="S13" s="21">
        <f t="shared" si="5"/>
        <v>622540.80000000005</v>
      </c>
      <c r="T13" s="21">
        <f>INDEX(Energy!$AD$7:$AD$26,MATCH($A13,Energy!$A$7:$A$26,0))</f>
        <v>9934.8595294117549</v>
      </c>
      <c r="U13" s="23">
        <f t="shared" si="6"/>
        <v>62.662264942648946</v>
      </c>
      <c r="V13" s="21">
        <f>IF(INDEX(Energy!$U$7:$U$26,MATCH($A13,Energy!$A$7:$A$26,0))&gt;0,S13/INDEX(Energy!$U$7:$U$26,MATCH($A13,Energy!$A$7:$A$26,0)),"n.a.")</f>
        <v>7895.6658055969083</v>
      </c>
    </row>
    <row r="14" spans="1:22" ht="22.95" customHeight="1">
      <c r="A14" s="6" t="s">
        <v>159</v>
      </c>
      <c r="B14" s="6" t="str">
        <f>INDEX(Buildings!$B$7:$B$26,MATCH($A14,Buildings!$A$7:$A$26,0))</f>
        <v>Hazel Sports Centre</v>
      </c>
      <c r="C14" s="8" t="str">
        <f>INDEX(Buildings!$C$7:$C$26,MATCH($A14,Buildings!$A$7:$A$26,0))</f>
        <v>Central</v>
      </c>
      <c r="D14" s="8">
        <f>INDEX(Buildings!$J$7:$J$26,MATCH($A14,Buildings!$A$7:$A$26,0))*(1-INDEX(Buildings!$K$7:$K$26,MATCH($A14,Buildings!$A$7:$A$26,0)))</f>
        <v>643.5</v>
      </c>
      <c r="E14" s="8">
        <f>Assumptions!$B$13</f>
        <v>100</v>
      </c>
      <c r="F14" s="8">
        <f t="shared" si="0"/>
        <v>7</v>
      </c>
      <c r="G14" s="8">
        <f t="shared" si="1"/>
        <v>700</v>
      </c>
      <c r="H14" s="18">
        <f>Assumptions!$B$14</f>
        <v>2.5</v>
      </c>
      <c r="I14" s="8">
        <f t="shared" si="2"/>
        <v>280</v>
      </c>
      <c r="J14" s="8">
        <f>INDEX(Buildings!$P$7:$P$26,MATCH($A14,Buildings!$A$7:$A$26,0))</f>
        <v>90</v>
      </c>
      <c r="K14" s="8">
        <f t="shared" si="3"/>
        <v>190</v>
      </c>
      <c r="L14" s="22">
        <f>G14*Assumptions!$B$15</f>
        <v>700000</v>
      </c>
      <c r="M14" s="22">
        <f>K14*Assumptions!$B$18</f>
        <v>85500</v>
      </c>
      <c r="N14" s="22">
        <f>INDEX(Buildings!$M$7:$M$26,MATCH($A14,Buildings!$A$7:$A$26,0))*Assumptions!$B$16</f>
        <v>154000</v>
      </c>
      <c r="O14" s="22">
        <f>INDEX(Buildings!$O$7:$O$26,MATCH($A14,Buildings!$A$7:$A$26,0))*Assumptions!$B$17</f>
        <v>208000</v>
      </c>
      <c r="P14" s="22">
        <f t="shared" si="4"/>
        <v>1147500</v>
      </c>
      <c r="Q14" s="22">
        <f>P14*Assumptions!$B$19</f>
        <v>137700</v>
      </c>
      <c r="R14" s="22">
        <f>(P14+Q14)*Assumptions!$B$20</f>
        <v>257040</v>
      </c>
      <c r="S14" s="22">
        <f t="shared" si="5"/>
        <v>1542240</v>
      </c>
      <c r="T14" s="22">
        <f>INDEX(Energy!$AD$7:$AD$26,MATCH($A14,Energy!$A$7:$A$26,0))</f>
        <v>10483.228620689595</v>
      </c>
      <c r="U14" s="24">
        <f t="shared" si="6"/>
        <v>147.11498296967889</v>
      </c>
      <c r="V14" s="22">
        <f>IF(INDEX(Energy!$U$7:$U$26,MATCH($A14,Energy!$A$7:$A$26,0))&gt;0,S14/INDEX(Energy!$U$7:$U$26,MATCH($A14,Energy!$A$7:$A$26,0)),"n.a.")</f>
        <v>5526.0981429176527</v>
      </c>
    </row>
    <row r="15" spans="1:22" ht="22.95" customHeight="1">
      <c r="A15" s="1" t="s">
        <v>160</v>
      </c>
      <c r="B15" s="1" t="str">
        <f>INDEX(Buildings!$B$7:$B$26,MATCH($A15,Buildings!$A$7:$A$26,0))</f>
        <v>Iris Computing</v>
      </c>
      <c r="C15" s="7" t="str">
        <f>INDEX(Buildings!$C$7:$C$26,MATCH($A15,Buildings!$A$7:$A$26,0))</f>
        <v>Central</v>
      </c>
      <c r="D15" s="7">
        <f>INDEX(Buildings!$J$7:$J$26,MATCH($A15,Buildings!$A$7:$A$26,0))*(1-INDEX(Buildings!$K$7:$K$26,MATCH($A15,Buildings!$A$7:$A$26,0)))</f>
        <v>243.36</v>
      </c>
      <c r="E15" s="7">
        <f>Assumptions!$B$13</f>
        <v>100</v>
      </c>
      <c r="F15" s="7">
        <f t="shared" si="0"/>
        <v>3</v>
      </c>
      <c r="G15" s="7">
        <f t="shared" si="1"/>
        <v>300</v>
      </c>
      <c r="H15" s="15">
        <f>Assumptions!$B$14</f>
        <v>2.5</v>
      </c>
      <c r="I15" s="7">
        <f t="shared" si="2"/>
        <v>120</v>
      </c>
      <c r="J15" s="7">
        <f>INDEX(Buildings!$P$7:$P$26,MATCH($A15,Buildings!$A$7:$A$26,0))</f>
        <v>25</v>
      </c>
      <c r="K15" s="7">
        <f t="shared" si="3"/>
        <v>95</v>
      </c>
      <c r="L15" s="21">
        <f>G15*Assumptions!$B$15</f>
        <v>300000</v>
      </c>
      <c r="M15" s="21">
        <f>K15*Assumptions!$B$18</f>
        <v>42750</v>
      </c>
      <c r="N15" s="21">
        <f>INDEX(Buildings!$M$7:$M$26,MATCH($A15,Buildings!$A$7:$A$26,0))*Assumptions!$B$16</f>
        <v>132000</v>
      </c>
      <c r="O15" s="21">
        <f>INDEX(Buildings!$O$7:$O$26,MATCH($A15,Buildings!$A$7:$A$26,0))*Assumptions!$B$17</f>
        <v>307200</v>
      </c>
      <c r="P15" s="21">
        <f t="shared" si="4"/>
        <v>781950</v>
      </c>
      <c r="Q15" s="21">
        <f>P15*Assumptions!$B$19</f>
        <v>93834</v>
      </c>
      <c r="R15" s="21">
        <f>(P15+Q15)*Assumptions!$B$20</f>
        <v>175156.80000000002</v>
      </c>
      <c r="S15" s="21">
        <f t="shared" si="5"/>
        <v>1050940.8</v>
      </c>
      <c r="T15" s="21">
        <f>INDEX(Energy!$AD$7:$AD$26,MATCH($A15,Energy!$A$7:$A$26,0))</f>
        <v>17771.074285714305</v>
      </c>
      <c r="U15" s="23">
        <f t="shared" si="6"/>
        <v>59.137719144240116</v>
      </c>
      <c r="V15" s="21">
        <f>IF(INDEX(Energy!$U$7:$U$26,MATCH($A15,Energy!$A$7:$A$26,0))&gt;0,S15/INDEX(Energy!$U$7:$U$26,MATCH($A15,Energy!$A$7:$A$26,0)),"n.a.")</f>
        <v>13002.31853394897</v>
      </c>
    </row>
    <row r="16" spans="1:22" ht="22.95" customHeight="1">
      <c r="A16" s="6" t="s">
        <v>161</v>
      </c>
      <c r="B16" s="6" t="str">
        <f>INDEX(Buildings!$B$7:$B$26,MATCH($A16,Buildings!$A$7:$A$26,0))</f>
        <v>Juniper Research</v>
      </c>
      <c r="C16" s="8" t="str">
        <f>INDEX(Buildings!$C$7:$C$26,MATCH($A16,Buildings!$A$7:$A$26,0))</f>
        <v>Central</v>
      </c>
      <c r="D16" s="8">
        <f>INDEX(Buildings!$J$7:$J$26,MATCH($A16,Buildings!$A$7:$A$26,0))*(1-INDEX(Buildings!$K$7:$K$26,MATCH($A16,Buildings!$A$7:$A$26,0)))</f>
        <v>489.59999999999997</v>
      </c>
      <c r="E16" s="8">
        <f>Assumptions!$B$13</f>
        <v>100</v>
      </c>
      <c r="F16" s="8">
        <f t="shared" si="0"/>
        <v>5</v>
      </c>
      <c r="G16" s="8">
        <f t="shared" si="1"/>
        <v>500</v>
      </c>
      <c r="H16" s="18">
        <f>Assumptions!$B$14</f>
        <v>2.5</v>
      </c>
      <c r="I16" s="8">
        <f t="shared" si="2"/>
        <v>200</v>
      </c>
      <c r="J16" s="8">
        <f>INDEX(Buildings!$P$7:$P$26,MATCH($A16,Buildings!$A$7:$A$26,0))</f>
        <v>50</v>
      </c>
      <c r="K16" s="8">
        <f t="shared" si="3"/>
        <v>150</v>
      </c>
      <c r="L16" s="22">
        <f>G16*Assumptions!$B$15</f>
        <v>500000</v>
      </c>
      <c r="M16" s="22">
        <f>K16*Assumptions!$B$18</f>
        <v>67500</v>
      </c>
      <c r="N16" s="22">
        <f>INDEX(Buildings!$M$7:$M$26,MATCH($A16,Buildings!$A$7:$A$26,0))*Assumptions!$B$16</f>
        <v>187000</v>
      </c>
      <c r="O16" s="22">
        <f>INDEX(Buildings!$O$7:$O$26,MATCH($A16,Buildings!$A$7:$A$26,0))*Assumptions!$B$17</f>
        <v>345600</v>
      </c>
      <c r="P16" s="22">
        <f t="shared" si="4"/>
        <v>1100100</v>
      </c>
      <c r="Q16" s="22">
        <f>P16*Assumptions!$B$19</f>
        <v>132012</v>
      </c>
      <c r="R16" s="22">
        <f>(P16+Q16)*Assumptions!$B$20</f>
        <v>246422.40000000002</v>
      </c>
      <c r="S16" s="22">
        <f t="shared" si="5"/>
        <v>1478534.4</v>
      </c>
      <c r="T16" s="22">
        <f>INDEX(Energy!$AD$7:$AD$26,MATCH($A16,Energy!$A$7:$A$26,0))</f>
        <v>22232.888032258023</v>
      </c>
      <c r="U16" s="24">
        <f t="shared" si="6"/>
        <v>66.502129541370095</v>
      </c>
      <c r="V16" s="22">
        <f>IF(INDEX(Energy!$U$7:$U$26,MATCH($A16,Energy!$A$7:$A$26,0))&gt;0,S16/INDEX(Energy!$U$7:$U$26,MATCH($A16,Energy!$A$7:$A$26,0)),"n.a.")</f>
        <v>6168.6821824458821</v>
      </c>
    </row>
    <row r="17" spans="1:22" ht="22.95" customHeight="1">
      <c r="A17" s="1" t="s">
        <v>162</v>
      </c>
      <c r="B17" s="1" t="str">
        <f>INDEX(Buildings!$B$7:$B$26,MATCH($A17,Buildings!$A$7:$A$26,0))</f>
        <v>Kingfisher Hall</v>
      </c>
      <c r="C17" s="7" t="str">
        <f>INDEX(Buildings!$C$7:$C$26,MATCH($A17,Buildings!$A$7:$A$26,0))</f>
        <v>South</v>
      </c>
      <c r="D17" s="7">
        <f>INDEX(Buildings!$J$7:$J$26,MATCH($A17,Buildings!$A$7:$A$26,0))*(1-INDEX(Buildings!$K$7:$K$26,MATCH($A17,Buildings!$A$7:$A$26,0)))</f>
        <v>249.04999999999998</v>
      </c>
      <c r="E17" s="7">
        <f>Assumptions!$B$13</f>
        <v>100</v>
      </c>
      <c r="F17" s="7">
        <f t="shared" si="0"/>
        <v>3</v>
      </c>
      <c r="G17" s="7">
        <f t="shared" si="1"/>
        <v>300</v>
      </c>
      <c r="H17" s="15">
        <f>Assumptions!$B$14</f>
        <v>2.5</v>
      </c>
      <c r="I17" s="7">
        <f t="shared" si="2"/>
        <v>120</v>
      </c>
      <c r="J17" s="7">
        <f>INDEX(Buildings!$P$7:$P$26,MATCH($A17,Buildings!$A$7:$A$26,0))</f>
        <v>55</v>
      </c>
      <c r="K17" s="7">
        <f t="shared" si="3"/>
        <v>65</v>
      </c>
      <c r="L17" s="21">
        <f>G17*Assumptions!$B$15</f>
        <v>300000</v>
      </c>
      <c r="M17" s="21">
        <f>K17*Assumptions!$B$18</f>
        <v>29250</v>
      </c>
      <c r="N17" s="21">
        <f>INDEX(Buildings!$M$7:$M$26,MATCH($A17,Buildings!$A$7:$A$26,0))*Assumptions!$B$16</f>
        <v>93500</v>
      </c>
      <c r="O17" s="21">
        <f>INDEX(Buildings!$O$7:$O$26,MATCH($A17,Buildings!$A$7:$A$26,0))*Assumptions!$B$17</f>
        <v>187200</v>
      </c>
      <c r="P17" s="21">
        <f t="shared" si="4"/>
        <v>609950</v>
      </c>
      <c r="Q17" s="21">
        <f>P17*Assumptions!$B$19</f>
        <v>73194</v>
      </c>
      <c r="R17" s="21">
        <f>(P17+Q17)*Assumptions!$B$20</f>
        <v>136628.80000000002</v>
      </c>
      <c r="S17" s="21">
        <f t="shared" si="5"/>
        <v>819772.8</v>
      </c>
      <c r="T17" s="21">
        <f>INDEX(Energy!$AD$7:$AD$26,MATCH($A17,Energy!$A$7:$A$26,0))</f>
        <v>13740.154181818187</v>
      </c>
      <c r="U17" s="23">
        <f t="shared" si="6"/>
        <v>59.662561944521237</v>
      </c>
      <c r="V17" s="21">
        <f>IF(INDEX(Energy!$U$7:$U$26,MATCH($A17,Energy!$A$7:$A$26,0))&gt;0,S17/INDEX(Energy!$U$7:$U$26,MATCH($A17,Energy!$A$7:$A$26,0)),"n.a.")</f>
        <v>6335.0390058970816</v>
      </c>
    </row>
    <row r="18" spans="1:22" ht="22.95" customHeight="1">
      <c r="A18" s="6" t="s">
        <v>163</v>
      </c>
      <c r="B18" s="6" t="str">
        <f>INDEX(Buildings!$B$7:$B$26,MATCH($A18,Buildings!$A$7:$A$26,0))</f>
        <v>Larch Medical Sciences</v>
      </c>
      <c r="C18" s="8" t="str">
        <f>INDEX(Buildings!$C$7:$C$26,MATCH($A18,Buildings!$A$7:$A$26,0))</f>
        <v>South</v>
      </c>
      <c r="D18" s="8">
        <f>INDEX(Buildings!$J$7:$J$26,MATCH($A18,Buildings!$A$7:$A$26,0))*(1-INDEX(Buildings!$K$7:$K$26,MATCH($A18,Buildings!$A$7:$A$26,0)))</f>
        <v>476</v>
      </c>
      <c r="E18" s="8">
        <f>Assumptions!$B$13</f>
        <v>100</v>
      </c>
      <c r="F18" s="8">
        <f t="shared" si="0"/>
        <v>5</v>
      </c>
      <c r="G18" s="8">
        <f t="shared" si="1"/>
        <v>500</v>
      </c>
      <c r="H18" s="18">
        <f>Assumptions!$B$14</f>
        <v>2.5</v>
      </c>
      <c r="I18" s="8">
        <f t="shared" si="2"/>
        <v>200</v>
      </c>
      <c r="J18" s="8">
        <f>INDEX(Buildings!$P$7:$P$26,MATCH($A18,Buildings!$A$7:$A$26,0))</f>
        <v>40</v>
      </c>
      <c r="K18" s="8">
        <f t="shared" si="3"/>
        <v>160</v>
      </c>
      <c r="L18" s="22">
        <f>G18*Assumptions!$B$15</f>
        <v>500000</v>
      </c>
      <c r="M18" s="22">
        <f>K18*Assumptions!$B$18</f>
        <v>72000</v>
      </c>
      <c r="N18" s="22">
        <f>INDEX(Buildings!$M$7:$M$26,MATCH($A18,Buildings!$A$7:$A$26,0))*Assumptions!$B$16</f>
        <v>220000</v>
      </c>
      <c r="O18" s="22">
        <f>INDEX(Buildings!$O$7:$O$26,MATCH($A18,Buildings!$A$7:$A$26,0))*Assumptions!$B$17</f>
        <v>476000</v>
      </c>
      <c r="P18" s="22">
        <f t="shared" si="4"/>
        <v>1268000</v>
      </c>
      <c r="Q18" s="22">
        <f>P18*Assumptions!$B$19</f>
        <v>152160</v>
      </c>
      <c r="R18" s="22">
        <f>(P18+Q18)*Assumptions!$B$20</f>
        <v>284032</v>
      </c>
      <c r="S18" s="22">
        <f t="shared" si="5"/>
        <v>1704192</v>
      </c>
      <c r="T18" s="22">
        <f>INDEX(Energy!$AD$7:$AD$26,MATCH($A18,Energy!$A$7:$A$26,0))</f>
        <v>36747.084117647144</v>
      </c>
      <c r="U18" s="24">
        <f t="shared" si="6"/>
        <v>46.376251093664102</v>
      </c>
      <c r="V18" s="22">
        <f>IF(INDEX(Energy!$U$7:$U$26,MATCH($A18,Energy!$A$7:$A$26,0))&gt;0,S18/INDEX(Energy!$U$7:$U$26,MATCH($A18,Energy!$A$7:$A$26,0)),"n.a.")</f>
        <v>5035.3149904905313</v>
      </c>
    </row>
    <row r="19" spans="1:22" ht="22.95" customHeight="1">
      <c r="A19" s="1" t="s">
        <v>164</v>
      </c>
      <c r="B19" s="1" t="str">
        <f>INDEX(Buildings!$B$7:$B$26,MATCH($A19,Buildings!$A$7:$A$26,0))</f>
        <v>Maple Arts Studio</v>
      </c>
      <c r="C19" s="7" t="str">
        <f>INDEX(Buildings!$C$7:$C$26,MATCH($A19,Buildings!$A$7:$A$26,0))</f>
        <v>South</v>
      </c>
      <c r="D19" s="7">
        <f>INDEX(Buildings!$J$7:$J$26,MATCH($A19,Buildings!$A$7:$A$26,0))*(1-INDEX(Buildings!$K$7:$K$26,MATCH($A19,Buildings!$A$7:$A$26,0)))</f>
        <v>267.3</v>
      </c>
      <c r="E19" s="7">
        <f>Assumptions!$B$13</f>
        <v>100</v>
      </c>
      <c r="F19" s="7">
        <f t="shared" si="0"/>
        <v>3</v>
      </c>
      <c r="G19" s="7">
        <f t="shared" si="1"/>
        <v>300</v>
      </c>
      <c r="H19" s="15">
        <f>Assumptions!$B$14</f>
        <v>2.5</v>
      </c>
      <c r="I19" s="7">
        <f t="shared" si="2"/>
        <v>120</v>
      </c>
      <c r="J19" s="7">
        <f>INDEX(Buildings!$P$7:$P$26,MATCH($A19,Buildings!$A$7:$A$26,0))</f>
        <v>90</v>
      </c>
      <c r="K19" s="7">
        <f t="shared" si="3"/>
        <v>30</v>
      </c>
      <c r="L19" s="21">
        <f>G19*Assumptions!$B$15</f>
        <v>300000</v>
      </c>
      <c r="M19" s="21">
        <f>K19*Assumptions!$B$18</f>
        <v>13500</v>
      </c>
      <c r="N19" s="21">
        <f>INDEX(Buildings!$M$7:$M$26,MATCH($A19,Buildings!$A$7:$A$26,0))*Assumptions!$B$16</f>
        <v>60500</v>
      </c>
      <c r="O19" s="21">
        <f>INDEX(Buildings!$O$7:$O$26,MATCH($A19,Buildings!$A$7:$A$26,0))*Assumptions!$B$17</f>
        <v>86400</v>
      </c>
      <c r="P19" s="21">
        <f t="shared" si="4"/>
        <v>460400</v>
      </c>
      <c r="Q19" s="21">
        <f>P19*Assumptions!$B$19</f>
        <v>55248</v>
      </c>
      <c r="R19" s="21">
        <f>(P19+Q19)*Assumptions!$B$20</f>
        <v>103129.60000000001</v>
      </c>
      <c r="S19" s="21">
        <f t="shared" si="5"/>
        <v>618777.59999999998</v>
      </c>
      <c r="T19" s="21">
        <f>INDEX(Energy!$AD$7:$AD$26,MATCH($A19,Energy!$A$7:$A$26,0))</f>
        <v>5822.7737068965507</v>
      </c>
      <c r="U19" s="23">
        <f t="shared" si="6"/>
        <v>106.26852959563132</v>
      </c>
      <c r="V19" s="21">
        <f>IF(INDEX(Energy!$U$7:$U$26,MATCH($A19,Energy!$A$7:$A$26,0))&gt;0,S19/INDEX(Energy!$U$7:$U$26,MATCH($A19,Energy!$A$7:$A$26,0)),"n.a.")</f>
        <v>9540.123631297547</v>
      </c>
    </row>
    <row r="20" spans="1:22" ht="22.95" customHeight="1">
      <c r="A20" s="6" t="s">
        <v>165</v>
      </c>
      <c r="B20" s="6" t="str">
        <f>INDEX(Buildings!$B$7:$B$26,MATCH($A20,Buildings!$A$7:$A$26,0))</f>
        <v>Newton Lecture Block</v>
      </c>
      <c r="C20" s="8" t="str">
        <f>INDEX(Buildings!$C$7:$C$26,MATCH($A20,Buildings!$A$7:$A$26,0))</f>
        <v>South</v>
      </c>
      <c r="D20" s="8">
        <f>INDEX(Buildings!$J$7:$J$26,MATCH($A20,Buildings!$A$7:$A$26,0))*(1-INDEX(Buildings!$K$7:$K$26,MATCH($A20,Buildings!$A$7:$A$26,0)))</f>
        <v>233.22</v>
      </c>
      <c r="E20" s="8">
        <f>Assumptions!$B$13</f>
        <v>100</v>
      </c>
      <c r="F20" s="8">
        <f t="shared" si="0"/>
        <v>3</v>
      </c>
      <c r="G20" s="8">
        <f t="shared" si="1"/>
        <v>300</v>
      </c>
      <c r="H20" s="18">
        <f>Assumptions!$B$14</f>
        <v>2.5</v>
      </c>
      <c r="I20" s="8">
        <f t="shared" si="2"/>
        <v>120</v>
      </c>
      <c r="J20" s="8">
        <f>INDEX(Buildings!$P$7:$P$26,MATCH($A20,Buildings!$A$7:$A$26,0))</f>
        <v>25</v>
      </c>
      <c r="K20" s="8">
        <f t="shared" si="3"/>
        <v>95</v>
      </c>
      <c r="L20" s="22">
        <f>G20*Assumptions!$B$15</f>
        <v>300000</v>
      </c>
      <c r="M20" s="22">
        <f>K20*Assumptions!$B$18</f>
        <v>42750</v>
      </c>
      <c r="N20" s="22">
        <f>INDEX(Buildings!$M$7:$M$26,MATCH($A20,Buildings!$A$7:$A$26,0))*Assumptions!$B$16</f>
        <v>110000</v>
      </c>
      <c r="O20" s="22">
        <f>INDEX(Buildings!$O$7:$O$26,MATCH($A20,Buildings!$A$7:$A$26,0))*Assumptions!$B$17</f>
        <v>294400</v>
      </c>
      <c r="P20" s="22">
        <f t="shared" si="4"/>
        <v>747150</v>
      </c>
      <c r="Q20" s="22">
        <f>P20*Assumptions!$B$19</f>
        <v>89658</v>
      </c>
      <c r="R20" s="22">
        <f>(P20+Q20)*Assumptions!$B$20</f>
        <v>167361.60000000001</v>
      </c>
      <c r="S20" s="22">
        <f t="shared" si="5"/>
        <v>1004169.6</v>
      </c>
      <c r="T20" s="22">
        <f>INDEX(Energy!$AD$7:$AD$26,MATCH($A20,Energy!$A$7:$A$26,0))</f>
        <v>16372.288571428566</v>
      </c>
      <c r="U20" s="24">
        <f t="shared" si="6"/>
        <v>61.333490160464542</v>
      </c>
      <c r="V20" s="22">
        <f>IF(INDEX(Energy!$U$7:$U$26,MATCH($A20,Energy!$A$7:$A$26,0))&gt;0,S20/INDEX(Energy!$U$7:$U$26,MATCH($A20,Energy!$A$7:$A$26,0)),"n.a.")</f>
        <v>8582.3077657113918</v>
      </c>
    </row>
    <row r="21" spans="1:22" ht="22.95" customHeight="1">
      <c r="A21" s="1" t="s">
        <v>166</v>
      </c>
      <c r="B21" s="1" t="str">
        <f>INDEX(Buildings!$B$7:$B$26,MATCH($A21,Buildings!$A$7:$A$26,0))</f>
        <v>Oak Student Centre</v>
      </c>
      <c r="C21" s="7" t="str">
        <f>INDEX(Buildings!$C$7:$C$26,MATCH($A21,Buildings!$A$7:$A$26,0))</f>
        <v>South</v>
      </c>
      <c r="D21" s="7">
        <f>INDEX(Buildings!$J$7:$J$26,MATCH($A21,Buildings!$A$7:$A$26,0))*(1-INDEX(Buildings!$K$7:$K$26,MATCH($A21,Buildings!$A$7:$A$26,0)))</f>
        <v>278.8</v>
      </c>
      <c r="E21" s="7">
        <f>Assumptions!$B$13</f>
        <v>100</v>
      </c>
      <c r="F21" s="7">
        <f t="shared" si="0"/>
        <v>3</v>
      </c>
      <c r="G21" s="7">
        <f t="shared" si="1"/>
        <v>300</v>
      </c>
      <c r="H21" s="15">
        <f>Assumptions!$B$14</f>
        <v>2.5</v>
      </c>
      <c r="I21" s="7">
        <f t="shared" si="2"/>
        <v>120</v>
      </c>
      <c r="J21" s="7">
        <f>INDEX(Buildings!$P$7:$P$26,MATCH($A21,Buildings!$A$7:$A$26,0))</f>
        <v>50</v>
      </c>
      <c r="K21" s="7">
        <f t="shared" si="3"/>
        <v>70</v>
      </c>
      <c r="L21" s="21">
        <f>G21*Assumptions!$B$15</f>
        <v>300000</v>
      </c>
      <c r="M21" s="21">
        <f>K21*Assumptions!$B$18</f>
        <v>31500</v>
      </c>
      <c r="N21" s="21">
        <f>INDEX(Buildings!$M$7:$M$26,MATCH($A21,Buildings!$A$7:$A$26,0))*Assumptions!$B$16</f>
        <v>104500</v>
      </c>
      <c r="O21" s="21">
        <f>INDEX(Buildings!$O$7:$O$26,MATCH($A21,Buildings!$A$7:$A$26,0))*Assumptions!$B$17</f>
        <v>196800</v>
      </c>
      <c r="P21" s="21">
        <f t="shared" si="4"/>
        <v>632800</v>
      </c>
      <c r="Q21" s="21">
        <f>P21*Assumptions!$B$19</f>
        <v>75936</v>
      </c>
      <c r="R21" s="21">
        <f>(P21+Q21)*Assumptions!$B$20</f>
        <v>141747.20000000001</v>
      </c>
      <c r="S21" s="21">
        <f t="shared" si="5"/>
        <v>850483.19999999995</v>
      </c>
      <c r="T21" s="21">
        <f>INDEX(Energy!$AD$7:$AD$26,MATCH($A21,Energy!$A$7:$A$26,0))</f>
        <v>12700.130499999999</v>
      </c>
      <c r="U21" s="23">
        <f t="shared" si="6"/>
        <v>66.966492982099666</v>
      </c>
      <c r="V21" s="21">
        <f>IF(INDEX(Energy!$U$7:$U$26,MATCH($A21,Energy!$A$7:$A$26,0))&gt;0,S21/INDEX(Energy!$U$7:$U$26,MATCH($A21,Energy!$A$7:$A$26,0)),"n.a.")</f>
        <v>8172.3291196798427</v>
      </c>
    </row>
    <row r="22" spans="1:22" ht="22.95" customHeight="1">
      <c r="A22" s="6" t="s">
        <v>167</v>
      </c>
      <c r="B22" s="6" t="str">
        <f>INDEX(Buildings!$B$7:$B$26,MATCH($A22,Buildings!$A$7:$A$26,0))</f>
        <v>Pine Archives</v>
      </c>
      <c r="C22" s="8" t="str">
        <f>INDEX(Buildings!$C$7:$C$26,MATCH($A22,Buildings!$A$7:$A$26,0))</f>
        <v>West</v>
      </c>
      <c r="D22" s="8">
        <f>INDEX(Buildings!$J$7:$J$26,MATCH($A22,Buildings!$A$7:$A$26,0))*(1-INDEX(Buildings!$K$7:$K$26,MATCH($A22,Buildings!$A$7:$A$26,0)))</f>
        <v>140.25</v>
      </c>
      <c r="E22" s="8">
        <f>Assumptions!$B$13</f>
        <v>100</v>
      </c>
      <c r="F22" s="8">
        <f t="shared" si="0"/>
        <v>2</v>
      </c>
      <c r="G22" s="8">
        <f t="shared" si="1"/>
        <v>200</v>
      </c>
      <c r="H22" s="18">
        <f>Assumptions!$B$14</f>
        <v>2.5</v>
      </c>
      <c r="I22" s="8">
        <f t="shared" si="2"/>
        <v>80</v>
      </c>
      <c r="J22" s="8">
        <f>INDEX(Buildings!$P$7:$P$26,MATCH($A22,Buildings!$A$7:$A$26,0))</f>
        <v>55</v>
      </c>
      <c r="K22" s="8">
        <f t="shared" si="3"/>
        <v>25</v>
      </c>
      <c r="L22" s="22">
        <f>G22*Assumptions!$B$15</f>
        <v>200000</v>
      </c>
      <c r="M22" s="22">
        <f>K22*Assumptions!$B$18</f>
        <v>11250</v>
      </c>
      <c r="N22" s="22">
        <f>INDEX(Buildings!$M$7:$M$26,MATCH($A22,Buildings!$A$7:$A$26,0))*Assumptions!$B$16</f>
        <v>38500</v>
      </c>
      <c r="O22" s="22">
        <f>INDEX(Buildings!$O$7:$O$26,MATCH($A22,Buildings!$A$7:$A$26,0))*Assumptions!$B$17</f>
        <v>105600</v>
      </c>
      <c r="P22" s="22">
        <f t="shared" si="4"/>
        <v>355350</v>
      </c>
      <c r="Q22" s="22">
        <f>P22*Assumptions!$B$19</f>
        <v>42642</v>
      </c>
      <c r="R22" s="22">
        <f>(P22+Q22)*Assumptions!$B$20</f>
        <v>79598.400000000009</v>
      </c>
      <c r="S22" s="22">
        <f t="shared" si="5"/>
        <v>477590.4</v>
      </c>
      <c r="T22" s="22">
        <f>INDEX(Energy!$AD$7:$AD$26,MATCH($A22,Energy!$A$7:$A$26,0))</f>
        <v>4607.0450909090869</v>
      </c>
      <c r="U22" s="24">
        <f t="shared" si="6"/>
        <v>103.66523239427625</v>
      </c>
      <c r="V22" s="22">
        <f>IF(INDEX(Energy!$U$7:$U$26,MATCH($A22,Energy!$A$7:$A$26,0))&gt;0,S22/INDEX(Energy!$U$7:$U$26,MATCH($A22,Energy!$A$7:$A$26,0)),"n.a.")</f>
        <v>10188.498215047422</v>
      </c>
    </row>
    <row r="23" spans="1:22" ht="22.95" customHeight="1">
      <c r="A23" s="1" t="s">
        <v>168</v>
      </c>
      <c r="B23" s="1" t="str">
        <f>INDEX(Buildings!$B$7:$B$26,MATCH($A23,Buildings!$A$7:$A$26,0))</f>
        <v>Quartz Physics</v>
      </c>
      <c r="C23" s="7" t="str">
        <f>INDEX(Buildings!$C$7:$C$26,MATCH($A23,Buildings!$A$7:$A$26,0))</f>
        <v>West</v>
      </c>
      <c r="D23" s="7">
        <f>INDEX(Buildings!$J$7:$J$26,MATCH($A23,Buildings!$A$7:$A$26,0))*(1-INDEX(Buildings!$K$7:$K$26,MATCH($A23,Buildings!$A$7:$A$26,0)))</f>
        <v>509.6</v>
      </c>
      <c r="E23" s="7">
        <f>Assumptions!$B$13</f>
        <v>100</v>
      </c>
      <c r="F23" s="7">
        <f t="shared" si="0"/>
        <v>6</v>
      </c>
      <c r="G23" s="7">
        <f t="shared" si="1"/>
        <v>600</v>
      </c>
      <c r="H23" s="15">
        <f>Assumptions!$B$14</f>
        <v>2.5</v>
      </c>
      <c r="I23" s="7">
        <f t="shared" si="2"/>
        <v>240</v>
      </c>
      <c r="J23" s="7">
        <f>INDEX(Buildings!$P$7:$P$26,MATCH($A23,Buildings!$A$7:$A$26,0))</f>
        <v>40</v>
      </c>
      <c r="K23" s="7">
        <f t="shared" si="3"/>
        <v>200</v>
      </c>
      <c r="L23" s="21">
        <f>G23*Assumptions!$B$15</f>
        <v>600000</v>
      </c>
      <c r="M23" s="21">
        <f>K23*Assumptions!$B$18</f>
        <v>90000</v>
      </c>
      <c r="N23" s="21">
        <f>INDEX(Buildings!$M$7:$M$26,MATCH($A23,Buildings!$A$7:$A$26,0))*Assumptions!$B$16</f>
        <v>231000</v>
      </c>
      <c r="O23" s="21">
        <f>INDEX(Buildings!$O$7:$O$26,MATCH($A23,Buildings!$A$7:$A$26,0))*Assumptions!$B$17</f>
        <v>509600</v>
      </c>
      <c r="P23" s="21">
        <f t="shared" si="4"/>
        <v>1430600</v>
      </c>
      <c r="Q23" s="21">
        <f>P23*Assumptions!$B$19</f>
        <v>171672</v>
      </c>
      <c r="R23" s="21">
        <f>(P23+Q23)*Assumptions!$B$20</f>
        <v>320454.40000000002</v>
      </c>
      <c r="S23" s="21">
        <f t="shared" si="5"/>
        <v>1922726.4</v>
      </c>
      <c r="T23" s="21">
        <f>INDEX(Energy!$AD$7:$AD$26,MATCH($A23,Energy!$A$7:$A$26,0))</f>
        <v>36323.89158823539</v>
      </c>
      <c r="U23" s="23">
        <f t="shared" si="6"/>
        <v>52.932830595242002</v>
      </c>
      <c r="V23" s="21">
        <f>IF(INDEX(Energy!$U$7:$U$26,MATCH($A23,Energy!$A$7:$A$26,0))&gt;0,S23/INDEX(Energy!$U$7:$U$26,MATCH($A23,Energy!$A$7:$A$26,0)),"n.a.")</f>
        <v>6027.5346922912649</v>
      </c>
    </row>
    <row r="24" spans="1:22" ht="22.95" customHeight="1">
      <c r="A24" s="6" t="s">
        <v>169</v>
      </c>
      <c r="B24" s="6" t="str">
        <f>INDEX(Buildings!$B$7:$B$26,MATCH($A24,Buildings!$A$7:$A$26,0))</f>
        <v>Rowan Graduate House</v>
      </c>
      <c r="C24" s="8" t="str">
        <f>INDEX(Buildings!$C$7:$C$26,MATCH($A24,Buildings!$A$7:$A$26,0))</f>
        <v>West</v>
      </c>
      <c r="D24" s="8">
        <f>INDEX(Buildings!$J$7:$J$26,MATCH($A24,Buildings!$A$7:$A$26,0))*(1-INDEX(Buildings!$K$7:$K$26,MATCH($A24,Buildings!$A$7:$A$26,0)))</f>
        <v>326.7</v>
      </c>
      <c r="E24" s="8">
        <f>Assumptions!$B$13</f>
        <v>100</v>
      </c>
      <c r="F24" s="8">
        <f t="shared" si="0"/>
        <v>4</v>
      </c>
      <c r="G24" s="8">
        <f t="shared" si="1"/>
        <v>400</v>
      </c>
      <c r="H24" s="18">
        <f>Assumptions!$B$14</f>
        <v>2.5</v>
      </c>
      <c r="I24" s="8">
        <f t="shared" si="2"/>
        <v>160</v>
      </c>
      <c r="J24" s="8">
        <f>INDEX(Buildings!$P$7:$P$26,MATCH($A24,Buildings!$A$7:$A$26,0))</f>
        <v>90</v>
      </c>
      <c r="K24" s="8">
        <f t="shared" si="3"/>
        <v>70</v>
      </c>
      <c r="L24" s="22">
        <f>G24*Assumptions!$B$15</f>
        <v>400000</v>
      </c>
      <c r="M24" s="22">
        <f>K24*Assumptions!$B$18</f>
        <v>31500</v>
      </c>
      <c r="N24" s="22">
        <f>INDEX(Buildings!$M$7:$M$26,MATCH($A24,Buildings!$A$7:$A$26,0))*Assumptions!$B$16</f>
        <v>71500</v>
      </c>
      <c r="O24" s="22">
        <f>INDEX(Buildings!$O$7:$O$26,MATCH($A24,Buildings!$A$7:$A$26,0))*Assumptions!$B$17</f>
        <v>105600</v>
      </c>
      <c r="P24" s="22">
        <f t="shared" si="4"/>
        <v>608600</v>
      </c>
      <c r="Q24" s="22">
        <f>P24*Assumptions!$B$19</f>
        <v>73032</v>
      </c>
      <c r="R24" s="22">
        <f>(P24+Q24)*Assumptions!$B$20</f>
        <v>136326.39999999999</v>
      </c>
      <c r="S24" s="22">
        <f t="shared" si="5"/>
        <v>817958.40000000002</v>
      </c>
      <c r="T24" s="22">
        <f>INDEX(Energy!$AD$7:$AD$26,MATCH($A24,Energy!$A$7:$A$26,0))</f>
        <v>5184.3483620689658</v>
      </c>
      <c r="U24" s="24">
        <f t="shared" si="6"/>
        <v>157.77458281633872</v>
      </c>
      <c r="V24" s="22">
        <f>IF(INDEX(Energy!$U$7:$U$26,MATCH($A24,Energy!$A$7:$A$26,0))&gt;0,S24/INDEX(Energy!$U$7:$U$26,MATCH($A24,Energy!$A$7:$A$26,0)),"n.a.")</f>
        <v>8254.3449284043963</v>
      </c>
    </row>
    <row r="25" spans="1:22" ht="22.95" customHeight="1">
      <c r="A25" s="1" t="s">
        <v>170</v>
      </c>
      <c r="B25" s="1" t="str">
        <f>INDEX(Buildings!$B$7:$B$26,MATCH($A25,Buildings!$A$7:$A$26,0))</f>
        <v>Sycamore Workshop</v>
      </c>
      <c r="C25" s="7" t="str">
        <f>INDEX(Buildings!$C$7:$C$26,MATCH($A25,Buildings!$A$7:$A$26,0))</f>
        <v>West</v>
      </c>
      <c r="D25" s="7">
        <f>INDEX(Buildings!$J$7:$J$26,MATCH($A25,Buildings!$A$7:$A$26,0))*(1-INDEX(Buildings!$K$7:$K$26,MATCH($A25,Buildings!$A$7:$A$26,0)))</f>
        <v>294.06</v>
      </c>
      <c r="E25" s="7">
        <f>Assumptions!$B$13</f>
        <v>100</v>
      </c>
      <c r="F25" s="7">
        <f t="shared" si="0"/>
        <v>3</v>
      </c>
      <c r="G25" s="7">
        <f t="shared" si="1"/>
        <v>300</v>
      </c>
      <c r="H25" s="15">
        <f>Assumptions!$B$14</f>
        <v>2.5</v>
      </c>
      <c r="I25" s="7">
        <f t="shared" si="2"/>
        <v>120</v>
      </c>
      <c r="J25" s="7">
        <f>INDEX(Buildings!$P$7:$P$26,MATCH($A25,Buildings!$A$7:$A$26,0))</f>
        <v>25</v>
      </c>
      <c r="K25" s="7">
        <f t="shared" si="3"/>
        <v>95</v>
      </c>
      <c r="L25" s="21">
        <f>G25*Assumptions!$B$15</f>
        <v>300000</v>
      </c>
      <c r="M25" s="21">
        <f>K25*Assumptions!$B$18</f>
        <v>42750</v>
      </c>
      <c r="N25" s="21">
        <f>INDEX(Buildings!$M$7:$M$26,MATCH($A25,Buildings!$A$7:$A$26,0))*Assumptions!$B$16</f>
        <v>137500</v>
      </c>
      <c r="O25" s="21">
        <f>INDEX(Buildings!$O$7:$O$26,MATCH($A25,Buildings!$A$7:$A$26,0))*Assumptions!$B$17</f>
        <v>371200</v>
      </c>
      <c r="P25" s="21">
        <f t="shared" si="4"/>
        <v>851450</v>
      </c>
      <c r="Q25" s="21">
        <f>P25*Assumptions!$B$19</f>
        <v>102174</v>
      </c>
      <c r="R25" s="21">
        <f>(P25+Q25)*Assumptions!$B$20</f>
        <v>190724.80000000002</v>
      </c>
      <c r="S25" s="21">
        <f t="shared" si="5"/>
        <v>1144348.8</v>
      </c>
      <c r="T25" s="21">
        <f>INDEX(Energy!$AD$7:$AD$26,MATCH($A25,Energy!$A$7:$A$26,0))</f>
        <v>23279.259285714303</v>
      </c>
      <c r="U25" s="23">
        <f t="shared" si="6"/>
        <v>49.157440361611862</v>
      </c>
      <c r="V25" s="21">
        <f>IF(INDEX(Energy!$U$7:$U$26,MATCH($A25,Energy!$A$7:$A$26,0))&gt;0,S25/INDEX(Energy!$U$7:$U$26,MATCH($A25,Energy!$A$7:$A$26,0)),"n.a.")</f>
        <v>6338.5846110289649</v>
      </c>
    </row>
    <row r="26" spans="1:22" ht="22.95" customHeight="1">
      <c r="A26" s="6" t="s">
        <v>171</v>
      </c>
      <c r="B26" s="6" t="str">
        <f>INDEX(Buildings!$B$7:$B$26,MATCH($A26,Buildings!$A$7:$A$26,0))</f>
        <v>Willow Innovation</v>
      </c>
      <c r="C26" s="8" t="str">
        <f>INDEX(Buildings!$C$7:$C$26,MATCH($A26,Buildings!$A$7:$A$26,0))</f>
        <v>West</v>
      </c>
      <c r="D26" s="8">
        <f>INDEX(Buildings!$J$7:$J$26,MATCH($A26,Buildings!$A$7:$A$26,0))*(1-INDEX(Buildings!$K$7:$K$26,MATCH($A26,Buildings!$A$7:$A$26,0)))</f>
        <v>435.2</v>
      </c>
      <c r="E26" s="8">
        <f>Assumptions!$B$13</f>
        <v>100</v>
      </c>
      <c r="F26" s="8">
        <f t="shared" si="0"/>
        <v>5</v>
      </c>
      <c r="G26" s="8">
        <f t="shared" si="1"/>
        <v>500</v>
      </c>
      <c r="H26" s="18">
        <f>Assumptions!$B$14</f>
        <v>2.5</v>
      </c>
      <c r="I26" s="8">
        <f t="shared" si="2"/>
        <v>200</v>
      </c>
      <c r="J26" s="8">
        <f>INDEX(Buildings!$P$7:$P$26,MATCH($A26,Buildings!$A$7:$A$26,0))</f>
        <v>50</v>
      </c>
      <c r="K26" s="8">
        <f t="shared" si="3"/>
        <v>150</v>
      </c>
      <c r="L26" s="22">
        <f>G26*Assumptions!$B$15</f>
        <v>500000</v>
      </c>
      <c r="M26" s="22">
        <f>K26*Assumptions!$B$18</f>
        <v>67500</v>
      </c>
      <c r="N26" s="22">
        <f>INDEX(Buildings!$M$7:$M$26,MATCH($A26,Buildings!$A$7:$A$26,0))*Assumptions!$B$16</f>
        <v>170500</v>
      </c>
      <c r="O26" s="22">
        <f>INDEX(Buildings!$O$7:$O$26,MATCH($A26,Buildings!$A$7:$A$26,0))*Assumptions!$B$17</f>
        <v>307200</v>
      </c>
      <c r="P26" s="22">
        <f t="shared" si="4"/>
        <v>1045200</v>
      </c>
      <c r="Q26" s="22">
        <f>P26*Assumptions!$B$19</f>
        <v>125424</v>
      </c>
      <c r="R26" s="22">
        <f>(P26+Q26)*Assumptions!$B$20</f>
        <v>234124.80000000002</v>
      </c>
      <c r="S26" s="22">
        <f t="shared" si="5"/>
        <v>1404748.8</v>
      </c>
      <c r="T26" s="22">
        <f>INDEX(Energy!$AD$7:$AD$26,MATCH($A26,Energy!$A$7:$A$26,0))</f>
        <v>20573.843725806393</v>
      </c>
      <c r="U26" s="24">
        <f t="shared" si="6"/>
        <v>68.278383889831005</v>
      </c>
      <c r="V26" s="22">
        <f>IF(INDEX(Energy!$U$7:$U$26,MATCH($A26,Energy!$A$7:$A$26,0))&gt;0,S26/INDEX(Energy!$U$7:$U$26,MATCH($A26,Energy!$A$7:$A$26,0)),"n.a.")</f>
        <v>9014.6091048558446</v>
      </c>
    </row>
    <row r="27" spans="1:22" ht="22.95" customHeight="1">
      <c r="A27" s="1"/>
      <c r="B27" s="1"/>
      <c r="C27" s="7"/>
      <c r="D27" s="7"/>
      <c r="E27" s="7"/>
      <c r="F27" s="7"/>
      <c r="G27" s="7"/>
      <c r="H27" s="7"/>
      <c r="I27" s="7"/>
      <c r="J27" s="7"/>
      <c r="K27" s="7"/>
      <c r="L27" s="21"/>
      <c r="M27" s="21"/>
      <c r="N27" s="21"/>
      <c r="O27" s="21"/>
      <c r="P27" s="21"/>
      <c r="Q27" s="21"/>
      <c r="R27" s="21"/>
      <c r="S27" s="21"/>
      <c r="T27" s="21"/>
      <c r="U27" s="23"/>
      <c r="V27" s="21"/>
    </row>
    <row r="28" spans="1:22" ht="22.95" customHeight="1">
      <c r="A28" s="25"/>
      <c r="B28" s="25" t="s">
        <v>172</v>
      </c>
      <c r="C28" s="26"/>
      <c r="D28" s="26">
        <f>SUM(D7:D26)</f>
        <v>6881.7700000000013</v>
      </c>
      <c r="E28" s="26"/>
      <c r="F28" s="26">
        <f>SUM(F7:F26)</f>
        <v>78</v>
      </c>
      <c r="G28" s="26">
        <f>SUM(G7:G26)</f>
        <v>7800</v>
      </c>
      <c r="H28" s="26"/>
      <c r="I28" s="26">
        <f t="shared" ref="I28:T28" si="7">SUM(I7:I26)</f>
        <v>3120</v>
      </c>
      <c r="J28" s="26">
        <f t="shared" si="7"/>
        <v>1040</v>
      </c>
      <c r="K28" s="26">
        <f t="shared" si="7"/>
        <v>2080</v>
      </c>
      <c r="L28" s="29">
        <f t="shared" si="7"/>
        <v>7800000</v>
      </c>
      <c r="M28" s="29">
        <f t="shared" si="7"/>
        <v>936000</v>
      </c>
      <c r="N28" s="29">
        <f t="shared" si="7"/>
        <v>2486000</v>
      </c>
      <c r="O28" s="29">
        <f t="shared" si="7"/>
        <v>5078400</v>
      </c>
      <c r="P28" s="29">
        <f t="shared" si="7"/>
        <v>16300400</v>
      </c>
      <c r="Q28" s="29">
        <f t="shared" si="7"/>
        <v>1956048</v>
      </c>
      <c r="R28" s="29">
        <f t="shared" si="7"/>
        <v>3651289.6</v>
      </c>
      <c r="S28" s="29">
        <f t="shared" si="7"/>
        <v>21907737.600000001</v>
      </c>
      <c r="T28" s="29">
        <f t="shared" si="7"/>
        <v>323603.16317337099</v>
      </c>
      <c r="U28" s="30">
        <f>IF(T28&gt;0,S28/T28,"No saving")</f>
        <v>67.699392630049445</v>
      </c>
      <c r="V28" s="29">
        <f>S28/Energy!U28</f>
        <v>6962.2438982814874</v>
      </c>
    </row>
    <row r="29" spans="1:22" ht="22.9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22.9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22.9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22.9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</sheetData>
  <conditionalFormatting sqref="K7:K26">
    <cfRule type="cellIs" dxfId="4" priority="1" operator="greater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32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C7" sqref="C7"/>
    </sheetView>
  </sheetViews>
  <sheetFormatPr defaultRowHeight="13.8"/>
  <cols>
    <col min="1" max="1" width="17" customWidth="1"/>
    <col min="2" max="2" width="24" customWidth="1"/>
    <col min="3" max="17" width="17" customWidth="1"/>
  </cols>
  <sheetData>
    <row r="1" spans="1:17" ht="22.9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2.95" customHeight="1">
      <c r="A2" s="2" t="s">
        <v>191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22.9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ht="22.95" customHeight="1">
      <c r="A4" s="4" t="s">
        <v>192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22.9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57" customHeight="1">
      <c r="A6" s="5" t="s">
        <v>125</v>
      </c>
      <c r="B6" s="5" t="s">
        <v>193</v>
      </c>
      <c r="C6" s="5" t="s">
        <v>194</v>
      </c>
      <c r="D6" s="5" t="s">
        <v>195</v>
      </c>
      <c r="E6" s="5" t="s">
        <v>196</v>
      </c>
      <c r="F6" s="5" t="s">
        <v>197</v>
      </c>
      <c r="G6" s="5" t="s">
        <v>198</v>
      </c>
      <c r="H6" s="5" t="s">
        <v>199</v>
      </c>
      <c r="I6" s="5" t="s">
        <v>200</v>
      </c>
      <c r="J6" s="5" t="s">
        <v>201</v>
      </c>
      <c r="K6" s="5" t="s">
        <v>202</v>
      </c>
      <c r="L6" s="5" t="s">
        <v>203</v>
      </c>
      <c r="M6" s="5" t="s">
        <v>204</v>
      </c>
      <c r="N6" s="5" t="s">
        <v>205</v>
      </c>
      <c r="O6" s="5" t="s">
        <v>206</v>
      </c>
      <c r="P6" s="5" t="s">
        <v>207</v>
      </c>
      <c r="Q6" s="5" t="s">
        <v>208</v>
      </c>
    </row>
    <row r="7" spans="1:17" ht="22.95" customHeight="1">
      <c r="A7" s="1" t="s">
        <v>152</v>
      </c>
      <c r="B7" s="9" t="s">
        <v>209</v>
      </c>
      <c r="C7" s="12">
        <v>4.2</v>
      </c>
      <c r="D7" s="12">
        <v>19.5</v>
      </c>
      <c r="E7" s="7">
        <f>INDEX(Energy!$D$7:$D$26,MATCH($A7,Energy!$A$7:$A$26,0))</f>
        <v>620000</v>
      </c>
      <c r="F7" s="7">
        <f>INDEX(Energy!$E$7:$E$26,MATCH($A7,Energy!$A$7:$A$26,0))</f>
        <v>490000</v>
      </c>
      <c r="G7" s="7">
        <f>INDEX(Energy!$P$7:$P$26,MATCH($A7,Energy!$A$7:$A$26,0))</f>
        <v>551529.69696969702</v>
      </c>
      <c r="H7" s="21">
        <f t="shared" ref="H7:H26" si="0">(E7*C7+F7*D7)/100</f>
        <v>121590</v>
      </c>
      <c r="I7" s="21">
        <f t="shared" ref="I7:I26" si="1">G7*D7/100</f>
        <v>107548.29090909092</v>
      </c>
      <c r="J7" s="21">
        <f t="shared" ref="J7:J26" si="2">H7-I7</f>
        <v>14041.709090909077</v>
      </c>
      <c r="K7" s="21">
        <f>INDEX(Energy!$W$7:$W$26,MATCH($A7,Energy!$A$7:$A$26,0))</f>
        <v>152835</v>
      </c>
      <c r="L7" s="21">
        <f>INDEX(Energy!$X$7:$X$26,MATCH($A7,Energy!$A$7:$A$26,0))</f>
        <v>135179.92872727275</v>
      </c>
      <c r="M7" s="21">
        <f t="shared" ref="M7:M26" si="3">K7-L7</f>
        <v>17655.071272727248</v>
      </c>
      <c r="N7" s="21">
        <f t="shared" ref="N7:N26" si="4">K7-H7</f>
        <v>31245</v>
      </c>
      <c r="O7" s="21">
        <f t="shared" ref="O7:O26" si="5">L7-I7</f>
        <v>27631.637818181829</v>
      </c>
      <c r="P7" s="21">
        <f t="shared" ref="P7:P26" si="6">M7-J7</f>
        <v>3613.3621818181709</v>
      </c>
      <c r="Q7" s="21">
        <f t="shared" ref="Q7:Q26" si="7">P7-(N7-O7)</f>
        <v>0</v>
      </c>
    </row>
    <row r="8" spans="1:17" ht="22.95" customHeight="1">
      <c r="A8" s="6" t="s">
        <v>153</v>
      </c>
      <c r="B8" s="9" t="s">
        <v>209</v>
      </c>
      <c r="C8" s="12">
        <v>4.2</v>
      </c>
      <c r="D8" s="12">
        <v>19.5</v>
      </c>
      <c r="E8" s="8">
        <f>INDEX(Energy!$D$7:$D$26,MATCH($A8,Energy!$A$7:$A$26,0))</f>
        <v>510000</v>
      </c>
      <c r="F8" s="8">
        <f>INDEX(Energy!$E$7:$E$26,MATCH($A8,Energy!$A$7:$A$26,0))</f>
        <v>320000</v>
      </c>
      <c r="G8" s="8">
        <f>INDEX(Energy!$P$7:$P$26,MATCH($A8,Energy!$A$7:$A$26,0))</f>
        <v>369995</v>
      </c>
      <c r="H8" s="22">
        <f t="shared" si="0"/>
        <v>83820</v>
      </c>
      <c r="I8" s="22">
        <f t="shared" si="1"/>
        <v>72149.024999999994</v>
      </c>
      <c r="J8" s="22">
        <f t="shared" si="2"/>
        <v>11670.975000000006</v>
      </c>
      <c r="K8" s="22">
        <f>INDEX(Energy!$W$7:$W$26,MATCH($A8,Energy!$A$7:$A$26,0))</f>
        <v>105360</v>
      </c>
      <c r="L8" s="22">
        <f>INDEX(Energy!$X$7:$X$26,MATCH($A8,Energy!$A$7:$A$26,0))</f>
        <v>90685.774500000014</v>
      </c>
      <c r="M8" s="22">
        <f t="shared" si="3"/>
        <v>14674.225499999986</v>
      </c>
      <c r="N8" s="22">
        <f t="shared" si="4"/>
        <v>21540</v>
      </c>
      <c r="O8" s="22">
        <f t="shared" si="5"/>
        <v>18536.74950000002</v>
      </c>
      <c r="P8" s="22">
        <f t="shared" si="6"/>
        <v>3003.2504999999801</v>
      </c>
      <c r="Q8" s="22">
        <f t="shared" si="7"/>
        <v>0</v>
      </c>
    </row>
    <row r="9" spans="1:17" ht="22.95" customHeight="1">
      <c r="A9" s="1" t="s">
        <v>154</v>
      </c>
      <c r="B9" s="9" t="s">
        <v>209</v>
      </c>
      <c r="C9" s="12">
        <v>4.2</v>
      </c>
      <c r="D9" s="12">
        <v>19.5</v>
      </c>
      <c r="E9" s="7">
        <f>INDEX(Energy!$D$7:$D$26,MATCH($A9,Energy!$A$7:$A$26,0))</f>
        <v>1680000</v>
      </c>
      <c r="F9" s="7">
        <f>INDEX(Energy!$E$7:$E$26,MATCH($A9,Energy!$A$7:$A$26,0))</f>
        <v>2840000</v>
      </c>
      <c r="G9" s="7">
        <f>INDEX(Energy!$P$7:$P$26,MATCH($A9,Energy!$A$7:$A$26,0))</f>
        <v>3119584.4827586208</v>
      </c>
      <c r="H9" s="21">
        <f t="shared" si="0"/>
        <v>624360</v>
      </c>
      <c r="I9" s="21">
        <f t="shared" si="1"/>
        <v>608318.97413793101</v>
      </c>
      <c r="J9" s="21">
        <f t="shared" si="2"/>
        <v>16041.025862068986</v>
      </c>
      <c r="K9" s="21">
        <f>INDEX(Energy!$W$7:$W$26,MATCH($A9,Energy!$A$7:$A$26,0))</f>
        <v>784788</v>
      </c>
      <c r="L9" s="21">
        <f>INDEX(Energy!$X$7:$X$26,MATCH($A9,Energy!$A$7:$A$26,0))</f>
        <v>764610.15672413795</v>
      </c>
      <c r="M9" s="21">
        <f t="shared" si="3"/>
        <v>20177.843275862047</v>
      </c>
      <c r="N9" s="21">
        <f t="shared" si="4"/>
        <v>160428</v>
      </c>
      <c r="O9" s="21">
        <f t="shared" si="5"/>
        <v>156291.18258620694</v>
      </c>
      <c r="P9" s="21">
        <f t="shared" si="6"/>
        <v>4136.8174137930619</v>
      </c>
      <c r="Q9" s="21">
        <f t="shared" si="7"/>
        <v>0</v>
      </c>
    </row>
    <row r="10" spans="1:17" ht="22.95" customHeight="1">
      <c r="A10" s="6" t="s">
        <v>155</v>
      </c>
      <c r="B10" s="9" t="s">
        <v>209</v>
      </c>
      <c r="C10" s="12">
        <v>4.2</v>
      </c>
      <c r="D10" s="12">
        <v>19.5</v>
      </c>
      <c r="E10" s="8">
        <f>INDEX(Energy!$D$7:$D$26,MATCH($A10,Energy!$A$7:$A$26,0))</f>
        <v>310000</v>
      </c>
      <c r="F10" s="8">
        <f>INDEX(Energy!$E$7:$E$26,MATCH($A10,Energy!$A$7:$A$26,0))</f>
        <v>210000</v>
      </c>
      <c r="G10" s="8">
        <f>INDEX(Energy!$P$7:$P$26,MATCH($A10,Energy!$A$7:$A$26,0))</f>
        <v>243257.14285714284</v>
      </c>
      <c r="H10" s="22">
        <f t="shared" si="0"/>
        <v>53970</v>
      </c>
      <c r="I10" s="22">
        <f t="shared" si="1"/>
        <v>47435.142857142855</v>
      </c>
      <c r="J10" s="22">
        <f t="shared" si="2"/>
        <v>6534.8571428571449</v>
      </c>
      <c r="K10" s="22">
        <f>INDEX(Energy!$W$7:$W$26,MATCH($A10,Energy!$A$7:$A$26,0))</f>
        <v>67839</v>
      </c>
      <c r="L10" s="22">
        <f>INDEX(Energy!$X$7:$X$26,MATCH($A10,Energy!$A$7:$A$26,0))</f>
        <v>59622.325714285718</v>
      </c>
      <c r="M10" s="22">
        <f t="shared" si="3"/>
        <v>8216.6742857142817</v>
      </c>
      <c r="N10" s="22">
        <f t="shared" si="4"/>
        <v>13869</v>
      </c>
      <c r="O10" s="22">
        <f t="shared" si="5"/>
        <v>12187.182857142863</v>
      </c>
      <c r="P10" s="22">
        <f t="shared" si="6"/>
        <v>1681.8171428571368</v>
      </c>
      <c r="Q10" s="22">
        <f t="shared" si="7"/>
        <v>0</v>
      </c>
    </row>
    <row r="11" spans="1:17" ht="22.95" customHeight="1">
      <c r="A11" s="1" t="s">
        <v>156</v>
      </c>
      <c r="B11" s="9" t="s">
        <v>209</v>
      </c>
      <c r="C11" s="12">
        <v>4.2</v>
      </c>
      <c r="D11" s="12">
        <v>19.5</v>
      </c>
      <c r="E11" s="7">
        <f>INDEX(Energy!$D$7:$D$26,MATCH($A11,Energy!$A$7:$A$26,0))</f>
        <v>1020000</v>
      </c>
      <c r="F11" s="7">
        <f>INDEX(Energy!$E$7:$E$26,MATCH($A11,Energy!$A$7:$A$26,0))</f>
        <v>460000</v>
      </c>
      <c r="G11" s="7">
        <f>INDEX(Energy!$P$7:$P$26,MATCH($A11,Energy!$A$7:$A$26,0))</f>
        <v>608015.16129032255</v>
      </c>
      <c r="H11" s="21">
        <f t="shared" si="0"/>
        <v>132540</v>
      </c>
      <c r="I11" s="21">
        <f t="shared" si="1"/>
        <v>118562.9564516129</v>
      </c>
      <c r="J11" s="21">
        <f t="shared" si="2"/>
        <v>13977.043548387097</v>
      </c>
      <c r="K11" s="21">
        <f>INDEX(Energy!$W$7:$W$26,MATCH($A11,Energy!$A$7:$A$26,0))</f>
        <v>166602</v>
      </c>
      <c r="L11" s="21">
        <f>INDEX(Energy!$X$7:$X$26,MATCH($A11,Energy!$A$7:$A$26,0))</f>
        <v>149024.51603225808</v>
      </c>
      <c r="M11" s="21">
        <f t="shared" si="3"/>
        <v>17577.483967741922</v>
      </c>
      <c r="N11" s="21">
        <f t="shared" si="4"/>
        <v>34062</v>
      </c>
      <c r="O11" s="21">
        <f t="shared" si="5"/>
        <v>30461.559580645175</v>
      </c>
      <c r="P11" s="21">
        <f t="shared" si="6"/>
        <v>3600.4404193548253</v>
      </c>
      <c r="Q11" s="21">
        <f t="shared" si="7"/>
        <v>0</v>
      </c>
    </row>
    <row r="12" spans="1:17" ht="22.95" customHeight="1">
      <c r="A12" s="6" t="s">
        <v>157</v>
      </c>
      <c r="B12" s="9" t="s">
        <v>210</v>
      </c>
      <c r="C12" s="12">
        <v>6.1</v>
      </c>
      <c r="D12" s="12">
        <v>31</v>
      </c>
      <c r="E12" s="8">
        <f>INDEX(Energy!$D$7:$D$26,MATCH($A12,Energy!$A$7:$A$26,0))</f>
        <v>1390000</v>
      </c>
      <c r="F12" s="8">
        <f>INDEX(Energy!$E$7:$E$26,MATCH($A12,Energy!$A$7:$A$26,0))</f>
        <v>1530000</v>
      </c>
      <c r="G12" s="8">
        <f>INDEX(Energy!$P$7:$P$26,MATCH($A12,Energy!$A$7:$A$26,0))</f>
        <v>1683623.0303030303</v>
      </c>
      <c r="H12" s="22">
        <f t="shared" si="0"/>
        <v>559090</v>
      </c>
      <c r="I12" s="22">
        <f t="shared" si="1"/>
        <v>521923.1393939394</v>
      </c>
      <c r="J12" s="22">
        <f t="shared" si="2"/>
        <v>37166.860606060596</v>
      </c>
      <c r="K12" s="22">
        <f>INDEX(Energy!$W$7:$W$26,MATCH($A12,Energy!$A$7:$A$26,0))</f>
        <v>448395</v>
      </c>
      <c r="L12" s="22">
        <f>INDEX(Energy!$X$7:$X$26,MATCH($A12,Energy!$A$7:$A$26,0))</f>
        <v>412656.00472727278</v>
      </c>
      <c r="M12" s="22">
        <f t="shared" si="3"/>
        <v>35738.995272727218</v>
      </c>
      <c r="N12" s="22">
        <f t="shared" si="4"/>
        <v>-110695</v>
      </c>
      <c r="O12" s="22">
        <f t="shared" si="5"/>
        <v>-109267.13466666662</v>
      </c>
      <c r="P12" s="22">
        <f t="shared" si="6"/>
        <v>-1427.8653333333787</v>
      </c>
      <c r="Q12" s="22">
        <f t="shared" si="7"/>
        <v>0</v>
      </c>
    </row>
    <row r="13" spans="1:17" ht="22.95" customHeight="1">
      <c r="A13" s="1" t="s">
        <v>158</v>
      </c>
      <c r="B13" s="9" t="s">
        <v>210</v>
      </c>
      <c r="C13" s="12">
        <v>6.1</v>
      </c>
      <c r="D13" s="12">
        <v>31</v>
      </c>
      <c r="E13" s="7">
        <f>INDEX(Energy!$D$7:$D$26,MATCH($A13,Energy!$A$7:$A$26,0))</f>
        <v>470000</v>
      </c>
      <c r="F13" s="7">
        <f>INDEX(Energy!$E$7:$E$26,MATCH($A13,Energy!$A$7:$A$26,0))</f>
        <v>260000</v>
      </c>
      <c r="G13" s="7">
        <f>INDEX(Energy!$P$7:$P$26,MATCH($A13,Energy!$A$7:$A$26,0))</f>
        <v>312228.23529411765</v>
      </c>
      <c r="H13" s="21">
        <f t="shared" si="0"/>
        <v>109270</v>
      </c>
      <c r="I13" s="21">
        <f t="shared" si="1"/>
        <v>96790.75294117647</v>
      </c>
      <c r="J13" s="21">
        <f t="shared" si="2"/>
        <v>12479.24705882353</v>
      </c>
      <c r="K13" s="21">
        <f>INDEX(Energy!$W$7:$W$26,MATCH($A13,Energy!$A$7:$A$26,0))</f>
        <v>88542</v>
      </c>
      <c r="L13" s="21">
        <f>INDEX(Energy!$X$7:$X$26,MATCH($A13,Energy!$A$7:$A$26,0))</f>
        <v>76527.140470588245</v>
      </c>
      <c r="M13" s="21">
        <f t="shared" si="3"/>
        <v>12014.859529411755</v>
      </c>
      <c r="N13" s="21">
        <f t="shared" si="4"/>
        <v>-20728</v>
      </c>
      <c r="O13" s="21">
        <f t="shared" si="5"/>
        <v>-20263.612470588225</v>
      </c>
      <c r="P13" s="21">
        <f t="shared" si="6"/>
        <v>-464.38752941177518</v>
      </c>
      <c r="Q13" s="21">
        <f t="shared" si="7"/>
        <v>0</v>
      </c>
    </row>
    <row r="14" spans="1:17" ht="22.95" customHeight="1">
      <c r="A14" s="6" t="s">
        <v>159</v>
      </c>
      <c r="B14" s="9" t="s">
        <v>210</v>
      </c>
      <c r="C14" s="12">
        <v>6.1</v>
      </c>
      <c r="D14" s="12">
        <v>31</v>
      </c>
      <c r="E14" s="8">
        <f>INDEX(Energy!$D$7:$D$26,MATCH($A14,Energy!$A$7:$A$26,0))</f>
        <v>1750000</v>
      </c>
      <c r="F14" s="8">
        <f>INDEX(Energy!$E$7:$E$26,MATCH($A14,Energy!$A$7:$A$26,0))</f>
        <v>860000</v>
      </c>
      <c r="G14" s="8">
        <f>INDEX(Energy!$P$7:$P$26,MATCH($A14,Energy!$A$7:$A$26,0))</f>
        <v>1165127.5862068967</v>
      </c>
      <c r="H14" s="22">
        <f t="shared" si="0"/>
        <v>373350</v>
      </c>
      <c r="I14" s="22">
        <f t="shared" si="1"/>
        <v>361189.55172413797</v>
      </c>
      <c r="J14" s="22">
        <f t="shared" si="2"/>
        <v>12160.448275862029</v>
      </c>
      <c r="K14" s="22">
        <f>INDEX(Energy!$W$7:$W$26,MATCH($A14,Energy!$A$7:$A$26,0))</f>
        <v>303186</v>
      </c>
      <c r="L14" s="22">
        <f>INDEX(Energy!$X$7:$X$26,MATCH($A14,Energy!$A$7:$A$26,0))</f>
        <v>285572.7713793104</v>
      </c>
      <c r="M14" s="22">
        <f t="shared" si="3"/>
        <v>17613.228620689595</v>
      </c>
      <c r="N14" s="22">
        <f t="shared" si="4"/>
        <v>-70164</v>
      </c>
      <c r="O14" s="22">
        <f t="shared" si="5"/>
        <v>-75616.780344827566</v>
      </c>
      <c r="P14" s="22">
        <f t="shared" si="6"/>
        <v>5452.7803448275663</v>
      </c>
      <c r="Q14" s="22">
        <f t="shared" si="7"/>
        <v>0</v>
      </c>
    </row>
    <row r="15" spans="1:17" ht="22.95" customHeight="1">
      <c r="A15" s="1" t="s">
        <v>160</v>
      </c>
      <c r="B15" s="9" t="s">
        <v>210</v>
      </c>
      <c r="C15" s="12">
        <v>6.1</v>
      </c>
      <c r="D15" s="12">
        <v>31</v>
      </c>
      <c r="E15" s="7">
        <f>INDEX(Energy!$D$7:$D$26,MATCH($A15,Energy!$A$7:$A$26,0))</f>
        <v>450000</v>
      </c>
      <c r="F15" s="7">
        <f>INDEX(Energy!$E$7:$E$26,MATCH($A15,Energy!$A$7:$A$26,0))</f>
        <v>2380000</v>
      </c>
      <c r="G15" s="7">
        <f>INDEX(Energy!$P$7:$P$26,MATCH($A15,Energy!$A$7:$A$26,0))</f>
        <v>2389257.1428571427</v>
      </c>
      <c r="H15" s="21">
        <f t="shared" si="0"/>
        <v>765250</v>
      </c>
      <c r="I15" s="21">
        <f t="shared" si="1"/>
        <v>740669.7142857142</v>
      </c>
      <c r="J15" s="21">
        <f t="shared" si="2"/>
        <v>24580.285714285797</v>
      </c>
      <c r="K15" s="21">
        <f>INDEX(Energy!$W$7:$W$26,MATCH($A15,Energy!$A$7:$A$26,0))</f>
        <v>607098</v>
      </c>
      <c r="L15" s="21">
        <f>INDEX(Energy!$X$7:$X$26,MATCH($A15,Energy!$A$7:$A$26,0))</f>
        <v>585606.92571428569</v>
      </c>
      <c r="M15" s="21">
        <f t="shared" si="3"/>
        <v>21491.074285714305</v>
      </c>
      <c r="N15" s="21">
        <f t="shared" si="4"/>
        <v>-158152</v>
      </c>
      <c r="O15" s="21">
        <f t="shared" si="5"/>
        <v>-155062.78857142851</v>
      </c>
      <c r="P15" s="21">
        <f t="shared" si="6"/>
        <v>-3089.2114285714924</v>
      </c>
      <c r="Q15" s="21">
        <f t="shared" si="7"/>
        <v>0</v>
      </c>
    </row>
    <row r="16" spans="1:17" ht="22.95" customHeight="1">
      <c r="A16" s="6" t="s">
        <v>161</v>
      </c>
      <c r="B16" s="9" t="s">
        <v>210</v>
      </c>
      <c r="C16" s="12">
        <v>6.1</v>
      </c>
      <c r="D16" s="12">
        <v>31</v>
      </c>
      <c r="E16" s="8">
        <f>INDEX(Energy!$D$7:$D$26,MATCH($A16,Energy!$A$7:$A$26,0))</f>
        <v>1460000</v>
      </c>
      <c r="F16" s="8">
        <f>INDEX(Energy!$E$7:$E$26,MATCH($A16,Energy!$A$7:$A$26,0))</f>
        <v>2490000</v>
      </c>
      <c r="G16" s="8">
        <f>INDEX(Energy!$P$7:$P$26,MATCH($A16,Energy!$A$7:$A$26,0))</f>
        <v>2692264.8387096776</v>
      </c>
      <c r="H16" s="22">
        <f t="shared" si="0"/>
        <v>860960</v>
      </c>
      <c r="I16" s="22">
        <f t="shared" si="1"/>
        <v>834602.1</v>
      </c>
      <c r="J16" s="22">
        <f t="shared" si="2"/>
        <v>26357.900000000023</v>
      </c>
      <c r="K16" s="22">
        <f>INDEX(Energy!$W$7:$W$26,MATCH($A16,Energy!$A$7:$A$26,0))</f>
        <v>687387</v>
      </c>
      <c r="L16" s="22">
        <f>INDEX(Energy!$X$7:$X$26,MATCH($A16,Energy!$A$7:$A$26,0))</f>
        <v>659874.11196774198</v>
      </c>
      <c r="M16" s="22">
        <f t="shared" si="3"/>
        <v>27512.888032258023</v>
      </c>
      <c r="N16" s="22">
        <f t="shared" si="4"/>
        <v>-173573</v>
      </c>
      <c r="O16" s="22">
        <f t="shared" si="5"/>
        <v>-174727.988032258</v>
      </c>
      <c r="P16" s="22">
        <f t="shared" si="6"/>
        <v>1154.9880322579993</v>
      </c>
      <c r="Q16" s="22">
        <f t="shared" si="7"/>
        <v>0</v>
      </c>
    </row>
    <row r="17" spans="1:17" ht="22.95" customHeight="1">
      <c r="A17" s="1" t="s">
        <v>162</v>
      </c>
      <c r="B17" s="9" t="s">
        <v>211</v>
      </c>
      <c r="C17" s="12">
        <v>5.8</v>
      </c>
      <c r="D17" s="12">
        <v>27.5</v>
      </c>
      <c r="E17" s="7">
        <f>INDEX(Energy!$D$7:$D$26,MATCH($A17,Energy!$A$7:$A$26,0))</f>
        <v>780000</v>
      </c>
      <c r="F17" s="7">
        <f>INDEX(Energy!$E$7:$E$26,MATCH($A17,Energy!$A$7:$A$26,0))</f>
        <v>350000</v>
      </c>
      <c r="G17" s="7">
        <f>INDEX(Energy!$P$7:$P$26,MATCH($A17,Energy!$A$7:$A$26,0))</f>
        <v>447730.90909090906</v>
      </c>
      <c r="H17" s="21">
        <f t="shared" si="0"/>
        <v>141490</v>
      </c>
      <c r="I17" s="21">
        <f t="shared" si="1"/>
        <v>123126</v>
      </c>
      <c r="J17" s="21">
        <f t="shared" si="2"/>
        <v>18364</v>
      </c>
      <c r="K17" s="21">
        <f>INDEX(Energy!$W$7:$W$26,MATCH($A17,Energy!$A$7:$A$26,0))</f>
        <v>126969</v>
      </c>
      <c r="L17" s="21">
        <f>INDEX(Energy!$X$7:$X$26,MATCH($A17,Energy!$A$7:$A$26,0))</f>
        <v>109738.84581818181</v>
      </c>
      <c r="M17" s="21">
        <f t="shared" si="3"/>
        <v>17230.154181818187</v>
      </c>
      <c r="N17" s="21">
        <f t="shared" si="4"/>
        <v>-14521</v>
      </c>
      <c r="O17" s="21">
        <f t="shared" si="5"/>
        <v>-13387.154181818187</v>
      </c>
      <c r="P17" s="21">
        <f t="shared" si="6"/>
        <v>-1133.8458181818132</v>
      </c>
      <c r="Q17" s="21">
        <f t="shared" si="7"/>
        <v>0</v>
      </c>
    </row>
    <row r="18" spans="1:17" ht="22.95" customHeight="1">
      <c r="A18" s="6" t="s">
        <v>163</v>
      </c>
      <c r="B18" s="9" t="s">
        <v>211</v>
      </c>
      <c r="C18" s="12">
        <v>5.8</v>
      </c>
      <c r="D18" s="12">
        <v>27.5</v>
      </c>
      <c r="E18" s="8">
        <f>INDEX(Energy!$D$7:$D$26,MATCH($A18,Energy!$A$7:$A$26,0))</f>
        <v>2050000</v>
      </c>
      <c r="F18" s="8">
        <f>INDEX(Energy!$E$7:$E$26,MATCH($A18,Energy!$A$7:$A$26,0))</f>
        <v>3620000</v>
      </c>
      <c r="G18" s="8">
        <f>INDEX(Energy!$P$7:$P$26,MATCH($A18,Energy!$A$7:$A$26,0))</f>
        <v>3889452.9411764704</v>
      </c>
      <c r="H18" s="22">
        <f t="shared" si="0"/>
        <v>1114400</v>
      </c>
      <c r="I18" s="22">
        <f t="shared" si="1"/>
        <v>1069599.5588235294</v>
      </c>
      <c r="J18" s="22">
        <f t="shared" si="2"/>
        <v>44800.441176470602</v>
      </c>
      <c r="K18" s="22">
        <f>INDEX(Energy!$W$7:$W$26,MATCH($A18,Energy!$A$7:$A$26,0))</f>
        <v>995502</v>
      </c>
      <c r="L18" s="22">
        <f>INDEX(Energy!$X$7:$X$26,MATCH($A18,Energy!$A$7:$A$26,0))</f>
        <v>953304.91588235286</v>
      </c>
      <c r="M18" s="22">
        <f t="shared" si="3"/>
        <v>42197.084117647144</v>
      </c>
      <c r="N18" s="22">
        <f t="shared" si="4"/>
        <v>-118898</v>
      </c>
      <c r="O18" s="22">
        <f t="shared" si="5"/>
        <v>-116294.64294117654</v>
      </c>
      <c r="P18" s="22">
        <f t="shared" si="6"/>
        <v>-2603.3570588234579</v>
      </c>
      <c r="Q18" s="22">
        <f t="shared" si="7"/>
        <v>0</v>
      </c>
    </row>
    <row r="19" spans="1:17" ht="22.95" customHeight="1">
      <c r="A19" s="1" t="s">
        <v>164</v>
      </c>
      <c r="B19" s="9" t="s">
        <v>211</v>
      </c>
      <c r="C19" s="12">
        <v>5.8</v>
      </c>
      <c r="D19" s="12">
        <v>27.5</v>
      </c>
      <c r="E19" s="7">
        <f>INDEX(Energy!$D$7:$D$26,MATCH($A19,Energy!$A$7:$A$26,0))</f>
        <v>390000</v>
      </c>
      <c r="F19" s="7">
        <f>INDEX(Energy!$E$7:$E$26,MATCH($A19,Energy!$A$7:$A$26,0))</f>
        <v>290000</v>
      </c>
      <c r="G19" s="7">
        <f>INDEX(Energy!$P$7:$P$26,MATCH($A19,Energy!$A$7:$A$26,0))</f>
        <v>337650.86206896551</v>
      </c>
      <c r="H19" s="21">
        <f t="shared" si="0"/>
        <v>102370</v>
      </c>
      <c r="I19" s="21">
        <f t="shared" si="1"/>
        <v>92853.987068965507</v>
      </c>
      <c r="J19" s="21">
        <f t="shared" si="2"/>
        <v>9516.0129310344928</v>
      </c>
      <c r="K19" s="21">
        <f>INDEX(Energy!$W$7:$W$26,MATCH($A19,Energy!$A$7:$A$26,0))</f>
        <v>91671</v>
      </c>
      <c r="L19" s="21">
        <f>INDEX(Energy!$X$7:$X$26,MATCH($A19,Energy!$A$7:$A$26,0))</f>
        <v>82758.226293103449</v>
      </c>
      <c r="M19" s="21">
        <f t="shared" si="3"/>
        <v>8912.7737068965507</v>
      </c>
      <c r="N19" s="21">
        <f t="shared" si="4"/>
        <v>-10699</v>
      </c>
      <c r="O19" s="21">
        <f t="shared" si="5"/>
        <v>-10095.760775862058</v>
      </c>
      <c r="P19" s="21">
        <f t="shared" si="6"/>
        <v>-603.23922413794207</v>
      </c>
      <c r="Q19" s="21">
        <f t="shared" si="7"/>
        <v>0</v>
      </c>
    </row>
    <row r="20" spans="1:17" ht="22.95" customHeight="1">
      <c r="A20" s="6" t="s">
        <v>165</v>
      </c>
      <c r="B20" s="9" t="s">
        <v>211</v>
      </c>
      <c r="C20" s="12">
        <v>5.8</v>
      </c>
      <c r="D20" s="12">
        <v>27.5</v>
      </c>
      <c r="E20" s="8">
        <f>INDEX(Energy!$D$7:$D$26,MATCH($A20,Energy!$A$7:$A$26,0))</f>
        <v>690000</v>
      </c>
      <c r="F20" s="8">
        <f>INDEX(Energy!$E$7:$E$26,MATCH($A20,Energy!$A$7:$A$26,0))</f>
        <v>440000</v>
      </c>
      <c r="G20" s="8">
        <f>INDEX(Energy!$P$7:$P$26,MATCH($A20,Energy!$A$7:$A$26,0))</f>
        <v>507114.28571428568</v>
      </c>
      <c r="H20" s="22">
        <f t="shared" si="0"/>
        <v>161020</v>
      </c>
      <c r="I20" s="22">
        <f t="shared" si="1"/>
        <v>139456.42857142855</v>
      </c>
      <c r="J20" s="22">
        <f t="shared" si="2"/>
        <v>21563.571428571449</v>
      </c>
      <c r="K20" s="22">
        <f>INDEX(Energy!$W$7:$W$26,MATCH($A20,Energy!$A$7:$A$26,0))</f>
        <v>144276</v>
      </c>
      <c r="L20" s="22">
        <f>INDEX(Energy!$X$7:$X$26,MATCH($A20,Energy!$A$7:$A$26,0))</f>
        <v>124293.71142857143</v>
      </c>
      <c r="M20" s="22">
        <f t="shared" si="3"/>
        <v>19982.288571428566</v>
      </c>
      <c r="N20" s="22">
        <f t="shared" si="4"/>
        <v>-16744</v>
      </c>
      <c r="O20" s="22">
        <f t="shared" si="5"/>
        <v>-15162.717142857116</v>
      </c>
      <c r="P20" s="22">
        <f t="shared" si="6"/>
        <v>-1581.2828571428836</v>
      </c>
      <c r="Q20" s="22">
        <f t="shared" si="7"/>
        <v>0</v>
      </c>
    </row>
    <row r="21" spans="1:17" ht="22.95" customHeight="1">
      <c r="A21" s="1" t="s">
        <v>166</v>
      </c>
      <c r="B21" s="9" t="s">
        <v>211</v>
      </c>
      <c r="C21" s="12">
        <v>5.8</v>
      </c>
      <c r="D21" s="12">
        <v>27.5</v>
      </c>
      <c r="E21" s="7">
        <f>INDEX(Energy!$D$7:$D$26,MATCH($A21,Energy!$A$7:$A$26,0))</f>
        <v>620000</v>
      </c>
      <c r="F21" s="7">
        <f>INDEX(Energy!$E$7:$E$26,MATCH($A21,Energy!$A$7:$A$26,0))</f>
        <v>610000</v>
      </c>
      <c r="G21" s="7">
        <f>INDEX(Energy!$P$7:$P$26,MATCH($A21,Energy!$A$7:$A$26,0))</f>
        <v>678445</v>
      </c>
      <c r="H21" s="21">
        <f t="shared" si="0"/>
        <v>203710</v>
      </c>
      <c r="I21" s="21">
        <f t="shared" si="1"/>
        <v>186572.375</v>
      </c>
      <c r="J21" s="21">
        <f t="shared" si="2"/>
        <v>17137.625</v>
      </c>
      <c r="K21" s="21">
        <f>INDEX(Energy!$W$7:$W$26,MATCH($A21,Energy!$A$7:$A$26,0))</f>
        <v>182247</v>
      </c>
      <c r="L21" s="21">
        <f>INDEX(Energy!$X$7:$X$26,MATCH($A21,Energy!$A$7:$A$26,0))</f>
        <v>166286.8695</v>
      </c>
      <c r="M21" s="21">
        <f t="shared" si="3"/>
        <v>15960.130499999999</v>
      </c>
      <c r="N21" s="21">
        <f t="shared" si="4"/>
        <v>-21463</v>
      </c>
      <c r="O21" s="21">
        <f t="shared" si="5"/>
        <v>-20285.505499999999</v>
      </c>
      <c r="P21" s="21">
        <f t="shared" si="6"/>
        <v>-1177.4945000000007</v>
      </c>
      <c r="Q21" s="21">
        <f t="shared" si="7"/>
        <v>0</v>
      </c>
    </row>
    <row r="22" spans="1:17" ht="22.95" customHeight="1">
      <c r="A22" s="6" t="s">
        <v>167</v>
      </c>
      <c r="B22" s="9" t="s">
        <v>212</v>
      </c>
      <c r="C22" s="12">
        <v>4.8</v>
      </c>
      <c r="D22" s="12">
        <v>22</v>
      </c>
      <c r="E22" s="8">
        <f>INDEX(Energy!$D$7:$D$26,MATCH($A22,Energy!$A$7:$A$26,0))</f>
        <v>280000</v>
      </c>
      <c r="F22" s="8">
        <f>INDEX(Energy!$E$7:$E$26,MATCH($A22,Energy!$A$7:$A$26,0))</f>
        <v>170000</v>
      </c>
      <c r="G22" s="8">
        <f>INDEX(Energy!$P$7:$P$26,MATCH($A22,Energy!$A$7:$A$26,0))</f>
        <v>201852.12121212122</v>
      </c>
      <c r="H22" s="22">
        <f t="shared" si="0"/>
        <v>50840</v>
      </c>
      <c r="I22" s="22">
        <f t="shared" si="1"/>
        <v>44407.466666666667</v>
      </c>
      <c r="J22" s="22">
        <f t="shared" si="2"/>
        <v>6432.5333333333328</v>
      </c>
      <c r="K22" s="22">
        <f>INDEX(Energy!$W$7:$W$26,MATCH($A22,Energy!$A$7:$A$26,0))</f>
        <v>56451</v>
      </c>
      <c r="L22" s="22">
        <f>INDEX(Energy!$X$7:$X$26,MATCH($A22,Energy!$A$7:$A$26,0))</f>
        <v>49473.954909090913</v>
      </c>
      <c r="M22" s="22">
        <f t="shared" si="3"/>
        <v>6977.0450909090869</v>
      </c>
      <c r="N22" s="22">
        <f t="shared" si="4"/>
        <v>5611</v>
      </c>
      <c r="O22" s="22">
        <f t="shared" si="5"/>
        <v>5066.488242424246</v>
      </c>
      <c r="P22" s="22">
        <f t="shared" si="6"/>
        <v>544.51175757575402</v>
      </c>
      <c r="Q22" s="22">
        <f t="shared" si="7"/>
        <v>0</v>
      </c>
    </row>
    <row r="23" spans="1:17" ht="22.95" customHeight="1">
      <c r="A23" s="1" t="s">
        <v>168</v>
      </c>
      <c r="B23" s="9" t="s">
        <v>212</v>
      </c>
      <c r="C23" s="12">
        <v>4.8</v>
      </c>
      <c r="D23" s="12">
        <v>22</v>
      </c>
      <c r="E23" s="7">
        <f>INDEX(Energy!$D$7:$D$26,MATCH($A23,Energy!$A$7:$A$26,0))</f>
        <v>1920000</v>
      </c>
      <c r="F23" s="7">
        <f>INDEX(Energy!$E$7:$E$26,MATCH($A23,Energy!$A$7:$A$26,0))</f>
        <v>3150000</v>
      </c>
      <c r="G23" s="7">
        <f>INDEX(Energy!$P$7:$P$26,MATCH($A23,Energy!$A$7:$A$26,0))</f>
        <v>3387054.7058823528</v>
      </c>
      <c r="H23" s="21">
        <f t="shared" si="0"/>
        <v>785160</v>
      </c>
      <c r="I23" s="21">
        <f t="shared" si="1"/>
        <v>745152.03529411764</v>
      </c>
      <c r="J23" s="21">
        <f t="shared" si="2"/>
        <v>40007.964705882361</v>
      </c>
      <c r="K23" s="21">
        <f>INDEX(Energy!$W$7:$W$26,MATCH($A23,Energy!$A$7:$A$26,0))</f>
        <v>873441</v>
      </c>
      <c r="L23" s="21">
        <f>INDEX(Energy!$X$7:$X$26,MATCH($A23,Energy!$A$7:$A$26,0))</f>
        <v>830167.10841176461</v>
      </c>
      <c r="M23" s="21">
        <f t="shared" si="3"/>
        <v>43273.89158823539</v>
      </c>
      <c r="N23" s="21">
        <f t="shared" si="4"/>
        <v>88281</v>
      </c>
      <c r="O23" s="21">
        <f t="shared" si="5"/>
        <v>85015.073117646971</v>
      </c>
      <c r="P23" s="21">
        <f t="shared" si="6"/>
        <v>3265.9268823530292</v>
      </c>
      <c r="Q23" s="21">
        <f t="shared" si="7"/>
        <v>0</v>
      </c>
    </row>
    <row r="24" spans="1:17" ht="22.95" customHeight="1">
      <c r="A24" s="6" t="s">
        <v>169</v>
      </c>
      <c r="B24" s="9" t="s">
        <v>212</v>
      </c>
      <c r="C24" s="12">
        <v>4.8</v>
      </c>
      <c r="D24" s="12">
        <v>22</v>
      </c>
      <c r="E24" s="8">
        <f>INDEX(Energy!$D$7:$D$26,MATCH($A24,Energy!$A$7:$A$26,0))</f>
        <v>610000</v>
      </c>
      <c r="F24" s="8">
        <f>INDEX(Energy!$E$7:$E$26,MATCH($A24,Energy!$A$7:$A$26,0))</f>
        <v>280000</v>
      </c>
      <c r="G24" s="8">
        <f>INDEX(Energy!$P$7:$P$26,MATCH($A24,Energy!$A$7:$A$26,0))</f>
        <v>372507.75862068962</v>
      </c>
      <c r="H24" s="22">
        <f t="shared" si="0"/>
        <v>90880</v>
      </c>
      <c r="I24" s="22">
        <f t="shared" si="1"/>
        <v>81951.70689655171</v>
      </c>
      <c r="J24" s="22">
        <f t="shared" si="2"/>
        <v>8928.2931034482899</v>
      </c>
      <c r="K24" s="22">
        <f>INDEX(Energy!$W$7:$W$26,MATCH($A24,Energy!$A$7:$A$26,0))</f>
        <v>100836</v>
      </c>
      <c r="L24" s="22">
        <f>INDEX(Energy!$X$7:$X$26,MATCH($A24,Energy!$A$7:$A$26,0))</f>
        <v>91301.651637931034</v>
      </c>
      <c r="M24" s="22">
        <f t="shared" si="3"/>
        <v>9534.3483620689658</v>
      </c>
      <c r="N24" s="22">
        <f t="shared" si="4"/>
        <v>9956</v>
      </c>
      <c r="O24" s="22">
        <f t="shared" si="5"/>
        <v>9349.9447413793241</v>
      </c>
      <c r="P24" s="22">
        <f t="shared" si="6"/>
        <v>606.05525862067589</v>
      </c>
      <c r="Q24" s="22">
        <f t="shared" si="7"/>
        <v>0</v>
      </c>
    </row>
    <row r="25" spans="1:17" ht="22.95" customHeight="1">
      <c r="A25" s="1" t="s">
        <v>170</v>
      </c>
      <c r="B25" s="9" t="s">
        <v>212</v>
      </c>
      <c r="C25" s="12">
        <v>4.8</v>
      </c>
      <c r="D25" s="12">
        <v>22</v>
      </c>
      <c r="E25" s="7">
        <f>INDEX(Energy!$D$7:$D$26,MATCH($A25,Energy!$A$7:$A$26,0))</f>
        <v>1080000</v>
      </c>
      <c r="F25" s="7">
        <f>INDEX(Energy!$E$7:$E$26,MATCH($A25,Energy!$A$7:$A$26,0))</f>
        <v>790000</v>
      </c>
      <c r="G25" s="7">
        <f>INDEX(Energy!$P$7:$P$26,MATCH($A25,Energy!$A$7:$A$26,0))</f>
        <v>914907.14285714284</v>
      </c>
      <c r="H25" s="21">
        <f t="shared" si="0"/>
        <v>225640</v>
      </c>
      <c r="I25" s="21">
        <f t="shared" si="1"/>
        <v>201279.57142857142</v>
      </c>
      <c r="J25" s="21">
        <f t="shared" si="2"/>
        <v>24360.42857142858</v>
      </c>
      <c r="K25" s="21">
        <f>INDEX(Energy!$W$7:$W$26,MATCH($A25,Energy!$A$7:$A$26,0))</f>
        <v>250653</v>
      </c>
      <c r="L25" s="21">
        <f>INDEX(Energy!$X$7:$X$26,MATCH($A25,Energy!$A$7:$A$26,0))</f>
        <v>224243.7407142857</v>
      </c>
      <c r="M25" s="21">
        <f t="shared" si="3"/>
        <v>26409.259285714303</v>
      </c>
      <c r="N25" s="21">
        <f t="shared" si="4"/>
        <v>25013</v>
      </c>
      <c r="O25" s="21">
        <f t="shared" si="5"/>
        <v>22964.169285714277</v>
      </c>
      <c r="P25" s="21">
        <f t="shared" si="6"/>
        <v>2048.8307142857229</v>
      </c>
      <c r="Q25" s="21">
        <f t="shared" si="7"/>
        <v>0</v>
      </c>
    </row>
    <row r="26" spans="1:17" ht="22.95" customHeight="1">
      <c r="A26" s="6" t="s">
        <v>171</v>
      </c>
      <c r="B26" s="9" t="s">
        <v>212</v>
      </c>
      <c r="C26" s="12">
        <v>4.8</v>
      </c>
      <c r="D26" s="12">
        <v>22</v>
      </c>
      <c r="E26" s="8">
        <f>INDEX(Energy!$D$7:$D$26,MATCH($A26,Energy!$A$7:$A$26,0))</f>
        <v>920000</v>
      </c>
      <c r="F26" s="8">
        <f>INDEX(Energy!$E$7:$E$26,MATCH($A26,Energy!$A$7:$A$26,0))</f>
        <v>1660000</v>
      </c>
      <c r="G26" s="8">
        <f>INDEX(Energy!$P$7:$P$26,MATCH($A26,Energy!$A$7:$A$26,0))</f>
        <v>1750828.8709677421</v>
      </c>
      <c r="H26" s="22">
        <f t="shared" si="0"/>
        <v>409360</v>
      </c>
      <c r="I26" s="22">
        <f t="shared" si="1"/>
        <v>385182.35161290324</v>
      </c>
      <c r="J26" s="22">
        <f t="shared" si="2"/>
        <v>24177.648387096764</v>
      </c>
      <c r="K26" s="22">
        <f>INDEX(Energy!$W$7:$W$26,MATCH($A26,Energy!$A$7:$A$26,0))</f>
        <v>455442</v>
      </c>
      <c r="L26" s="22">
        <f>INDEX(Energy!$X$7:$X$26,MATCH($A26,Energy!$A$7:$A$26,0))</f>
        <v>429128.15627419361</v>
      </c>
      <c r="M26" s="22">
        <f t="shared" si="3"/>
        <v>26313.843725806393</v>
      </c>
      <c r="N26" s="22">
        <f t="shared" si="4"/>
        <v>46082</v>
      </c>
      <c r="O26" s="22">
        <f t="shared" si="5"/>
        <v>43945.804661290371</v>
      </c>
      <c r="P26" s="22">
        <f t="shared" si="6"/>
        <v>2136.1953387096291</v>
      </c>
      <c r="Q26" s="22">
        <f t="shared" si="7"/>
        <v>0</v>
      </c>
    </row>
    <row r="27" spans="1:17" ht="22.95" customHeight="1">
      <c r="A27" s="1"/>
      <c r="B27" s="1"/>
      <c r="C27" s="7"/>
      <c r="D27" s="7"/>
      <c r="E27" s="7"/>
      <c r="F27" s="7"/>
      <c r="G27" s="7"/>
      <c r="H27" s="21"/>
      <c r="I27" s="21"/>
      <c r="J27" s="21"/>
      <c r="K27" s="21"/>
      <c r="L27" s="21"/>
      <c r="M27" s="21"/>
      <c r="N27" s="21"/>
      <c r="O27" s="21"/>
      <c r="P27" s="21"/>
      <c r="Q27" s="21"/>
    </row>
    <row r="28" spans="1:17" ht="22.95" customHeight="1">
      <c r="A28" s="25"/>
      <c r="B28" s="25" t="s">
        <v>172</v>
      </c>
      <c r="C28" s="26"/>
      <c r="D28" s="26"/>
      <c r="E28" s="26">
        <f t="shared" ref="E28:Q28" si="8">SUM(E7:E26)</f>
        <v>19000000</v>
      </c>
      <c r="F28" s="26">
        <f t="shared" si="8"/>
        <v>23200000</v>
      </c>
      <c r="G28" s="26">
        <f t="shared" si="8"/>
        <v>25622426.914837327</v>
      </c>
      <c r="H28" s="29">
        <f t="shared" si="8"/>
        <v>6969070</v>
      </c>
      <c r="I28" s="29">
        <f t="shared" si="8"/>
        <v>6578771.1290634796</v>
      </c>
      <c r="J28" s="29">
        <f t="shared" si="8"/>
        <v>390298.87093652011</v>
      </c>
      <c r="K28" s="29">
        <f t="shared" si="8"/>
        <v>6689520</v>
      </c>
      <c r="L28" s="29">
        <f t="shared" si="8"/>
        <v>6280056.8368266299</v>
      </c>
      <c r="M28" s="29">
        <f t="shared" si="8"/>
        <v>409463.16317337099</v>
      </c>
      <c r="N28" s="29">
        <f t="shared" si="8"/>
        <v>-279550</v>
      </c>
      <c r="O28" s="29">
        <f t="shared" si="8"/>
        <v>-298714.29223685083</v>
      </c>
      <c r="P28" s="29">
        <f t="shared" si="8"/>
        <v>19164.292236850808</v>
      </c>
      <c r="Q28" s="29">
        <f t="shared" si="8"/>
        <v>0</v>
      </c>
    </row>
    <row r="29" spans="1:17" ht="22.9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22.9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22.9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22.9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</sheetData>
  <conditionalFormatting sqref="J7:J26">
    <cfRule type="cellIs" dxfId="3" priority="1" operator="lessThan">
      <formula>0</formula>
    </cfRule>
  </conditionalFormatting>
  <conditionalFormatting sqref="M7:M26">
    <cfRule type="cellIs" dxfId="2" priority="2" operator="lessThan">
      <formula>0</formula>
    </cfRule>
  </conditionalFormatting>
  <dataValidations count="1">
    <dataValidation type="decimal" operator="greaterThan" sqref="C7:D26" xr:uid="{00000000-0002-0000-0400-000000000000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32"/>
  <sheetViews>
    <sheetView showGridLines="0" workbookViewId="0">
      <pane xSplit="2" ySplit="6" topLeftCell="C18" activePane="bottomRight" state="frozen"/>
      <selection pane="topRight"/>
      <selection pane="bottomLeft"/>
      <selection pane="bottomRight" activeCell="C7" sqref="C7"/>
    </sheetView>
  </sheetViews>
  <sheetFormatPr defaultRowHeight="13.8"/>
  <cols>
    <col min="1" max="1" width="17" customWidth="1"/>
    <col min="2" max="2" width="29" customWidth="1"/>
    <col min="3" max="3" width="17" customWidth="1"/>
    <col min="4" max="4" width="22" customWidth="1"/>
    <col min="5" max="17" width="17" customWidth="1"/>
    <col min="18" max="18" width="22" customWidth="1"/>
  </cols>
  <sheetData>
    <row r="1" spans="1:18" ht="22.9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22.95" customHeight="1">
      <c r="A2" s="2" t="s">
        <v>213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22.9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ht="22.95" customHeight="1">
      <c r="A4" s="4" t="s">
        <v>214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22.9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57" customHeight="1">
      <c r="A6" s="5" t="s">
        <v>125</v>
      </c>
      <c r="B6" s="5" t="s">
        <v>126</v>
      </c>
      <c r="C6" s="5" t="s">
        <v>25</v>
      </c>
      <c r="D6" s="5" t="s">
        <v>215</v>
      </c>
      <c r="E6" s="5" t="s">
        <v>216</v>
      </c>
      <c r="F6" s="5" t="s">
        <v>217</v>
      </c>
      <c r="G6" s="5" t="s">
        <v>218</v>
      </c>
      <c r="H6" s="5" t="s">
        <v>219</v>
      </c>
      <c r="I6" s="5" t="s">
        <v>220</v>
      </c>
      <c r="J6" s="5" t="s">
        <v>221</v>
      </c>
      <c r="K6" s="5" t="s">
        <v>222</v>
      </c>
      <c r="L6" s="5" t="s">
        <v>223</v>
      </c>
      <c r="M6" s="5" t="s">
        <v>224</v>
      </c>
      <c r="N6" s="5" t="s">
        <v>225</v>
      </c>
      <c r="O6" s="5" t="s">
        <v>226</v>
      </c>
      <c r="P6" s="5" t="s">
        <v>179</v>
      </c>
      <c r="Q6" s="5" t="s">
        <v>227</v>
      </c>
      <c r="R6" s="5" t="s">
        <v>228</v>
      </c>
    </row>
    <row r="7" spans="1:18" ht="22.95" customHeight="1">
      <c r="A7" s="9" t="s">
        <v>152</v>
      </c>
      <c r="B7" s="9" t="s">
        <v>229</v>
      </c>
      <c r="C7" s="10" t="s">
        <v>32</v>
      </c>
      <c r="D7" s="10" t="s">
        <v>230</v>
      </c>
      <c r="E7" s="10">
        <v>4200</v>
      </c>
      <c r="F7" s="10">
        <v>620000</v>
      </c>
      <c r="G7" s="10">
        <v>490000</v>
      </c>
      <c r="H7" s="11">
        <v>0.82</v>
      </c>
      <c r="I7" s="11">
        <v>0.18</v>
      </c>
      <c r="J7" s="10">
        <v>315</v>
      </c>
      <c r="K7" s="11">
        <v>0.15</v>
      </c>
      <c r="L7" s="12">
        <v>3.3</v>
      </c>
      <c r="M7" s="10">
        <v>90</v>
      </c>
      <c r="N7" s="11">
        <v>0.8</v>
      </c>
      <c r="O7" s="10">
        <v>1260</v>
      </c>
      <c r="P7" s="10">
        <v>55</v>
      </c>
      <c r="Q7" s="10" t="s">
        <v>231</v>
      </c>
      <c r="R7" s="10" t="s">
        <v>232</v>
      </c>
    </row>
    <row r="8" spans="1:18" ht="22.95" customHeight="1">
      <c r="A8" s="9" t="s">
        <v>153</v>
      </c>
      <c r="B8" s="9" t="s">
        <v>233</v>
      </c>
      <c r="C8" s="10" t="s">
        <v>32</v>
      </c>
      <c r="D8" s="10" t="s">
        <v>234</v>
      </c>
      <c r="E8" s="10">
        <v>3600</v>
      </c>
      <c r="F8" s="10">
        <v>510000</v>
      </c>
      <c r="G8" s="10">
        <v>320000</v>
      </c>
      <c r="H8" s="11">
        <v>0.86</v>
      </c>
      <c r="I8" s="11">
        <v>0.22</v>
      </c>
      <c r="J8" s="10">
        <v>252</v>
      </c>
      <c r="K8" s="11">
        <v>0.2</v>
      </c>
      <c r="L8" s="12">
        <v>3.4</v>
      </c>
      <c r="M8" s="10">
        <v>75</v>
      </c>
      <c r="N8" s="11">
        <v>0.75</v>
      </c>
      <c r="O8" s="10">
        <v>1260</v>
      </c>
      <c r="P8" s="10">
        <v>40</v>
      </c>
      <c r="Q8" s="10" t="s">
        <v>235</v>
      </c>
      <c r="R8" s="10" t="s">
        <v>236</v>
      </c>
    </row>
    <row r="9" spans="1:18" ht="22.95" customHeight="1">
      <c r="A9" s="9" t="s">
        <v>154</v>
      </c>
      <c r="B9" s="9" t="s">
        <v>237</v>
      </c>
      <c r="C9" s="10" t="s">
        <v>32</v>
      </c>
      <c r="D9" s="10" t="s">
        <v>238</v>
      </c>
      <c r="E9" s="10">
        <v>6800</v>
      </c>
      <c r="F9" s="10">
        <v>1680000</v>
      </c>
      <c r="G9" s="10">
        <v>2840000</v>
      </c>
      <c r="H9" s="11">
        <v>0.8</v>
      </c>
      <c r="I9" s="11">
        <v>0.12</v>
      </c>
      <c r="J9" s="10">
        <v>748</v>
      </c>
      <c r="K9" s="11">
        <v>0.1</v>
      </c>
      <c r="L9" s="12">
        <v>2.9</v>
      </c>
      <c r="M9" s="10">
        <v>150</v>
      </c>
      <c r="N9" s="11">
        <v>0.95</v>
      </c>
      <c r="O9" s="10">
        <v>1360</v>
      </c>
      <c r="P9" s="10">
        <v>90</v>
      </c>
      <c r="Q9" s="10" t="s">
        <v>239</v>
      </c>
      <c r="R9" s="10" t="s">
        <v>240</v>
      </c>
    </row>
    <row r="10" spans="1:18" ht="22.95" customHeight="1">
      <c r="A10" s="9" t="s">
        <v>155</v>
      </c>
      <c r="B10" s="9" t="s">
        <v>241</v>
      </c>
      <c r="C10" s="10" t="s">
        <v>32</v>
      </c>
      <c r="D10" s="10" t="s">
        <v>242</v>
      </c>
      <c r="E10" s="10">
        <v>2400</v>
      </c>
      <c r="F10" s="10">
        <v>310000</v>
      </c>
      <c r="G10" s="10">
        <v>210000</v>
      </c>
      <c r="H10" s="11">
        <v>0.88</v>
      </c>
      <c r="I10" s="11">
        <v>0.25</v>
      </c>
      <c r="J10" s="10">
        <v>156</v>
      </c>
      <c r="K10" s="11">
        <v>0.22</v>
      </c>
      <c r="L10" s="12">
        <v>3.5</v>
      </c>
      <c r="M10" s="10">
        <v>40</v>
      </c>
      <c r="N10" s="11">
        <v>0.7</v>
      </c>
      <c r="O10" s="10">
        <v>960</v>
      </c>
      <c r="P10" s="10">
        <v>25</v>
      </c>
      <c r="Q10" s="10" t="s">
        <v>231</v>
      </c>
      <c r="R10" s="10" t="s">
        <v>243</v>
      </c>
    </row>
    <row r="11" spans="1:18" ht="22.95" customHeight="1">
      <c r="A11" s="9" t="s">
        <v>156</v>
      </c>
      <c r="B11" s="9" t="s">
        <v>244</v>
      </c>
      <c r="C11" s="10" t="s">
        <v>32</v>
      </c>
      <c r="D11" s="10" t="s">
        <v>245</v>
      </c>
      <c r="E11" s="10">
        <v>5400</v>
      </c>
      <c r="F11" s="10">
        <v>1020000</v>
      </c>
      <c r="G11" s="10">
        <v>460000</v>
      </c>
      <c r="H11" s="11">
        <v>0.84</v>
      </c>
      <c r="I11" s="11">
        <v>0.16</v>
      </c>
      <c r="J11" s="10">
        <v>432</v>
      </c>
      <c r="K11" s="11">
        <v>0.15</v>
      </c>
      <c r="L11" s="12">
        <v>3.1</v>
      </c>
      <c r="M11" s="10">
        <v>110</v>
      </c>
      <c r="N11" s="11">
        <v>0.85</v>
      </c>
      <c r="O11" s="10">
        <v>1620</v>
      </c>
      <c r="P11" s="10">
        <v>50</v>
      </c>
      <c r="Q11" s="10" t="s">
        <v>235</v>
      </c>
      <c r="R11" s="10" t="s">
        <v>246</v>
      </c>
    </row>
    <row r="12" spans="1:18" ht="22.95" customHeight="1">
      <c r="A12" s="9" t="s">
        <v>157</v>
      </c>
      <c r="B12" s="9" t="s">
        <v>247</v>
      </c>
      <c r="C12" s="10" t="s">
        <v>33</v>
      </c>
      <c r="D12" s="10" t="s">
        <v>248</v>
      </c>
      <c r="E12" s="10">
        <v>7600</v>
      </c>
      <c r="F12" s="10">
        <v>1390000</v>
      </c>
      <c r="G12" s="10">
        <v>1530000</v>
      </c>
      <c r="H12" s="11">
        <v>0.82</v>
      </c>
      <c r="I12" s="11">
        <v>0.18</v>
      </c>
      <c r="J12" s="10">
        <v>570</v>
      </c>
      <c r="K12" s="11">
        <v>0.15</v>
      </c>
      <c r="L12" s="12">
        <v>3.3</v>
      </c>
      <c r="M12" s="10">
        <v>180</v>
      </c>
      <c r="N12" s="11">
        <v>0.8</v>
      </c>
      <c r="O12" s="10">
        <v>2280</v>
      </c>
      <c r="P12" s="10">
        <v>55</v>
      </c>
      <c r="Q12" s="10" t="s">
        <v>231</v>
      </c>
      <c r="R12" s="10" t="s">
        <v>249</v>
      </c>
    </row>
    <row r="13" spans="1:18" ht="22.95" customHeight="1">
      <c r="A13" s="9" t="s">
        <v>158</v>
      </c>
      <c r="B13" s="9" t="s">
        <v>250</v>
      </c>
      <c r="C13" s="10" t="s">
        <v>33</v>
      </c>
      <c r="D13" s="10" t="s">
        <v>234</v>
      </c>
      <c r="E13" s="10">
        <v>3200</v>
      </c>
      <c r="F13" s="10">
        <v>470000</v>
      </c>
      <c r="G13" s="10">
        <v>260000</v>
      </c>
      <c r="H13" s="11">
        <v>0.86</v>
      </c>
      <c r="I13" s="11">
        <v>0.22</v>
      </c>
      <c r="J13" s="10">
        <v>224</v>
      </c>
      <c r="K13" s="11">
        <v>0.2</v>
      </c>
      <c r="L13" s="12">
        <v>3.4</v>
      </c>
      <c r="M13" s="10">
        <v>60</v>
      </c>
      <c r="N13" s="11">
        <v>0.75</v>
      </c>
      <c r="O13" s="10">
        <v>1120</v>
      </c>
      <c r="P13" s="10">
        <v>40</v>
      </c>
      <c r="Q13" s="10" t="s">
        <v>235</v>
      </c>
      <c r="R13" s="10" t="s">
        <v>251</v>
      </c>
    </row>
    <row r="14" spans="1:18" ht="22.95" customHeight="1">
      <c r="A14" s="9" t="s">
        <v>159</v>
      </c>
      <c r="B14" s="9" t="s">
        <v>252</v>
      </c>
      <c r="C14" s="10" t="s">
        <v>33</v>
      </c>
      <c r="D14" s="10" t="s">
        <v>253</v>
      </c>
      <c r="E14" s="10">
        <v>6500</v>
      </c>
      <c r="F14" s="10">
        <v>1750000</v>
      </c>
      <c r="G14" s="10">
        <v>860000</v>
      </c>
      <c r="H14" s="11">
        <v>0.8</v>
      </c>
      <c r="I14" s="11">
        <v>0.12</v>
      </c>
      <c r="J14" s="10">
        <v>715</v>
      </c>
      <c r="K14" s="11">
        <v>0.1</v>
      </c>
      <c r="L14" s="12">
        <v>2.9</v>
      </c>
      <c r="M14" s="10">
        <v>140</v>
      </c>
      <c r="N14" s="11">
        <v>0.95</v>
      </c>
      <c r="O14" s="10">
        <v>1300</v>
      </c>
      <c r="P14" s="10">
        <v>90</v>
      </c>
      <c r="Q14" s="10" t="s">
        <v>239</v>
      </c>
      <c r="R14" s="10" t="s">
        <v>254</v>
      </c>
    </row>
    <row r="15" spans="1:18" ht="22.95" customHeight="1">
      <c r="A15" s="9" t="s">
        <v>160</v>
      </c>
      <c r="B15" s="9" t="s">
        <v>255</v>
      </c>
      <c r="C15" s="10" t="s">
        <v>33</v>
      </c>
      <c r="D15" s="10" t="s">
        <v>256</v>
      </c>
      <c r="E15" s="10">
        <v>4800</v>
      </c>
      <c r="F15" s="10">
        <v>450000</v>
      </c>
      <c r="G15" s="10">
        <v>2380000</v>
      </c>
      <c r="H15" s="11">
        <v>0.88</v>
      </c>
      <c r="I15" s="11">
        <v>0.25</v>
      </c>
      <c r="J15" s="10">
        <v>312</v>
      </c>
      <c r="K15" s="11">
        <v>0.22</v>
      </c>
      <c r="L15" s="12">
        <v>3.5</v>
      </c>
      <c r="M15" s="10">
        <v>120</v>
      </c>
      <c r="N15" s="11">
        <v>0.7</v>
      </c>
      <c r="O15" s="10">
        <v>1920</v>
      </c>
      <c r="P15" s="10">
        <v>25</v>
      </c>
      <c r="Q15" s="10" t="s">
        <v>231</v>
      </c>
      <c r="R15" s="10" t="s">
        <v>257</v>
      </c>
    </row>
    <row r="16" spans="1:18" ht="22.95" customHeight="1">
      <c r="A16" s="9" t="s">
        <v>161</v>
      </c>
      <c r="B16" s="9" t="s">
        <v>258</v>
      </c>
      <c r="C16" s="10" t="s">
        <v>33</v>
      </c>
      <c r="D16" s="10" t="s">
        <v>238</v>
      </c>
      <c r="E16" s="10">
        <v>7200</v>
      </c>
      <c r="F16" s="10">
        <v>1460000</v>
      </c>
      <c r="G16" s="10">
        <v>2490000</v>
      </c>
      <c r="H16" s="11">
        <v>0.84</v>
      </c>
      <c r="I16" s="11">
        <v>0.16</v>
      </c>
      <c r="J16" s="10">
        <v>576</v>
      </c>
      <c r="K16" s="11">
        <v>0.15</v>
      </c>
      <c r="L16" s="12">
        <v>3.1</v>
      </c>
      <c r="M16" s="10">
        <v>170</v>
      </c>
      <c r="N16" s="11">
        <v>0.85</v>
      </c>
      <c r="O16" s="10">
        <v>2160</v>
      </c>
      <c r="P16" s="10">
        <v>50</v>
      </c>
      <c r="Q16" s="10" t="s">
        <v>235</v>
      </c>
      <c r="R16" s="10" t="s">
        <v>259</v>
      </c>
    </row>
    <row r="17" spans="1:18" ht="22.95" customHeight="1">
      <c r="A17" s="9" t="s">
        <v>162</v>
      </c>
      <c r="B17" s="9" t="s">
        <v>260</v>
      </c>
      <c r="C17" s="10" t="s">
        <v>34</v>
      </c>
      <c r="D17" s="10" t="s">
        <v>245</v>
      </c>
      <c r="E17" s="10">
        <v>3900</v>
      </c>
      <c r="F17" s="10">
        <v>780000</v>
      </c>
      <c r="G17" s="10">
        <v>350000</v>
      </c>
      <c r="H17" s="11">
        <v>0.82</v>
      </c>
      <c r="I17" s="11">
        <v>0.18</v>
      </c>
      <c r="J17" s="10">
        <v>293</v>
      </c>
      <c r="K17" s="11">
        <v>0.15</v>
      </c>
      <c r="L17" s="12">
        <v>3.3</v>
      </c>
      <c r="M17" s="10">
        <v>85</v>
      </c>
      <c r="N17" s="11">
        <v>0.8</v>
      </c>
      <c r="O17" s="10">
        <v>1170</v>
      </c>
      <c r="P17" s="10">
        <v>55</v>
      </c>
      <c r="Q17" s="10" t="s">
        <v>231</v>
      </c>
      <c r="R17" s="10" t="s">
        <v>261</v>
      </c>
    </row>
    <row r="18" spans="1:18" ht="22.95" customHeight="1">
      <c r="A18" s="9" t="s">
        <v>163</v>
      </c>
      <c r="B18" s="9" t="s">
        <v>262</v>
      </c>
      <c r="C18" s="10" t="s">
        <v>34</v>
      </c>
      <c r="D18" s="10" t="s">
        <v>238</v>
      </c>
      <c r="E18" s="10">
        <v>8500</v>
      </c>
      <c r="F18" s="10">
        <v>2050000</v>
      </c>
      <c r="G18" s="10">
        <v>3620000</v>
      </c>
      <c r="H18" s="11">
        <v>0.86</v>
      </c>
      <c r="I18" s="11">
        <v>0.22</v>
      </c>
      <c r="J18" s="10">
        <v>595</v>
      </c>
      <c r="K18" s="11">
        <v>0.2</v>
      </c>
      <c r="L18" s="12">
        <v>3.4</v>
      </c>
      <c r="M18" s="10">
        <v>200</v>
      </c>
      <c r="N18" s="11">
        <v>0.75</v>
      </c>
      <c r="O18" s="10">
        <v>2975</v>
      </c>
      <c r="P18" s="10">
        <v>40</v>
      </c>
      <c r="Q18" s="10" t="s">
        <v>235</v>
      </c>
      <c r="R18" s="10" t="s">
        <v>263</v>
      </c>
    </row>
    <row r="19" spans="1:18" ht="22.95" customHeight="1">
      <c r="A19" s="9" t="s">
        <v>164</v>
      </c>
      <c r="B19" s="9" t="s">
        <v>264</v>
      </c>
      <c r="C19" s="10" t="s">
        <v>34</v>
      </c>
      <c r="D19" s="10" t="s">
        <v>265</v>
      </c>
      <c r="E19" s="10">
        <v>2700</v>
      </c>
      <c r="F19" s="10">
        <v>390000</v>
      </c>
      <c r="G19" s="10">
        <v>290000</v>
      </c>
      <c r="H19" s="11">
        <v>0.8</v>
      </c>
      <c r="I19" s="11">
        <v>0.12</v>
      </c>
      <c r="J19" s="10">
        <v>297</v>
      </c>
      <c r="K19" s="11">
        <v>0.1</v>
      </c>
      <c r="L19" s="12">
        <v>2.9</v>
      </c>
      <c r="M19" s="10">
        <v>55</v>
      </c>
      <c r="N19" s="11">
        <v>0.95</v>
      </c>
      <c r="O19" s="10">
        <v>540</v>
      </c>
      <c r="P19" s="10">
        <v>90</v>
      </c>
      <c r="Q19" s="10" t="s">
        <v>239</v>
      </c>
      <c r="R19" s="10" t="s">
        <v>266</v>
      </c>
    </row>
    <row r="20" spans="1:18" ht="22.95" customHeight="1">
      <c r="A20" s="9" t="s">
        <v>165</v>
      </c>
      <c r="B20" s="9" t="s">
        <v>267</v>
      </c>
      <c r="C20" s="10" t="s">
        <v>34</v>
      </c>
      <c r="D20" s="10" t="s">
        <v>234</v>
      </c>
      <c r="E20" s="10">
        <v>4600</v>
      </c>
      <c r="F20" s="10">
        <v>690000</v>
      </c>
      <c r="G20" s="10">
        <v>440000</v>
      </c>
      <c r="H20" s="11">
        <v>0.88</v>
      </c>
      <c r="I20" s="11">
        <v>0.25</v>
      </c>
      <c r="J20" s="10">
        <v>299</v>
      </c>
      <c r="K20" s="11">
        <v>0.22</v>
      </c>
      <c r="L20" s="12">
        <v>3.5</v>
      </c>
      <c r="M20" s="10">
        <v>100</v>
      </c>
      <c r="N20" s="11">
        <v>0.7</v>
      </c>
      <c r="O20" s="10">
        <v>1840</v>
      </c>
      <c r="P20" s="10">
        <v>25</v>
      </c>
      <c r="Q20" s="10" t="s">
        <v>231</v>
      </c>
      <c r="R20" s="10" t="s">
        <v>268</v>
      </c>
    </row>
    <row r="21" spans="1:18" ht="22.95" customHeight="1">
      <c r="A21" s="9" t="s">
        <v>166</v>
      </c>
      <c r="B21" s="9" t="s">
        <v>269</v>
      </c>
      <c r="C21" s="10" t="s">
        <v>34</v>
      </c>
      <c r="D21" s="10" t="s">
        <v>270</v>
      </c>
      <c r="E21" s="10">
        <v>4100</v>
      </c>
      <c r="F21" s="10">
        <v>620000</v>
      </c>
      <c r="G21" s="10">
        <v>610000</v>
      </c>
      <c r="H21" s="11">
        <v>0.84</v>
      </c>
      <c r="I21" s="11">
        <v>0.16</v>
      </c>
      <c r="J21" s="10">
        <v>328</v>
      </c>
      <c r="K21" s="11">
        <v>0.15</v>
      </c>
      <c r="L21" s="12">
        <v>3.1</v>
      </c>
      <c r="M21" s="10">
        <v>95</v>
      </c>
      <c r="N21" s="11">
        <v>0.85</v>
      </c>
      <c r="O21" s="10">
        <v>1230</v>
      </c>
      <c r="P21" s="10">
        <v>50</v>
      </c>
      <c r="Q21" s="10" t="s">
        <v>235</v>
      </c>
      <c r="R21" s="10" t="s">
        <v>271</v>
      </c>
    </row>
    <row r="22" spans="1:18" ht="22.95" customHeight="1">
      <c r="A22" s="9" t="s">
        <v>167</v>
      </c>
      <c r="B22" s="9" t="s">
        <v>272</v>
      </c>
      <c r="C22" s="10" t="s">
        <v>35</v>
      </c>
      <c r="D22" s="10" t="s">
        <v>273</v>
      </c>
      <c r="E22" s="10">
        <v>2200</v>
      </c>
      <c r="F22" s="10">
        <v>280000</v>
      </c>
      <c r="G22" s="10">
        <v>170000</v>
      </c>
      <c r="H22" s="11">
        <v>0.82</v>
      </c>
      <c r="I22" s="11">
        <v>0.18</v>
      </c>
      <c r="J22" s="10">
        <v>165</v>
      </c>
      <c r="K22" s="11">
        <v>0.15</v>
      </c>
      <c r="L22" s="12">
        <v>3.3</v>
      </c>
      <c r="M22" s="10">
        <v>35</v>
      </c>
      <c r="N22" s="11">
        <v>0.8</v>
      </c>
      <c r="O22" s="10">
        <v>660</v>
      </c>
      <c r="P22" s="10">
        <v>55</v>
      </c>
      <c r="Q22" s="10" t="s">
        <v>231</v>
      </c>
      <c r="R22" s="10" t="s">
        <v>274</v>
      </c>
    </row>
    <row r="23" spans="1:18" ht="22.95" customHeight="1">
      <c r="A23" s="9" t="s">
        <v>168</v>
      </c>
      <c r="B23" s="9" t="s">
        <v>275</v>
      </c>
      <c r="C23" s="10" t="s">
        <v>35</v>
      </c>
      <c r="D23" s="10" t="s">
        <v>238</v>
      </c>
      <c r="E23" s="10">
        <v>9100</v>
      </c>
      <c r="F23" s="10">
        <v>1920000</v>
      </c>
      <c r="G23" s="10">
        <v>3150000</v>
      </c>
      <c r="H23" s="11">
        <v>0.86</v>
      </c>
      <c r="I23" s="11">
        <v>0.22</v>
      </c>
      <c r="J23" s="10">
        <v>637</v>
      </c>
      <c r="K23" s="11">
        <v>0.2</v>
      </c>
      <c r="L23" s="12">
        <v>3.4</v>
      </c>
      <c r="M23" s="10">
        <v>210</v>
      </c>
      <c r="N23" s="11">
        <v>0.75</v>
      </c>
      <c r="O23" s="10">
        <v>3185</v>
      </c>
      <c r="P23" s="10">
        <v>40</v>
      </c>
      <c r="Q23" s="10" t="s">
        <v>235</v>
      </c>
      <c r="R23" s="10" t="s">
        <v>276</v>
      </c>
    </row>
    <row r="24" spans="1:18" ht="22.95" customHeight="1">
      <c r="A24" s="9" t="s">
        <v>169</v>
      </c>
      <c r="B24" s="9" t="s">
        <v>277</v>
      </c>
      <c r="C24" s="10" t="s">
        <v>35</v>
      </c>
      <c r="D24" s="10" t="s">
        <v>245</v>
      </c>
      <c r="E24" s="10">
        <v>3300</v>
      </c>
      <c r="F24" s="10">
        <v>610000</v>
      </c>
      <c r="G24" s="10">
        <v>280000</v>
      </c>
      <c r="H24" s="11">
        <v>0.8</v>
      </c>
      <c r="I24" s="11">
        <v>0.12</v>
      </c>
      <c r="J24" s="10">
        <v>363</v>
      </c>
      <c r="K24" s="11">
        <v>0.1</v>
      </c>
      <c r="L24" s="12">
        <v>2.9</v>
      </c>
      <c r="M24" s="10">
        <v>65</v>
      </c>
      <c r="N24" s="11">
        <v>0.95</v>
      </c>
      <c r="O24" s="10">
        <v>660</v>
      </c>
      <c r="P24" s="10">
        <v>90</v>
      </c>
      <c r="Q24" s="10" t="s">
        <v>239</v>
      </c>
      <c r="R24" s="10" t="s">
        <v>278</v>
      </c>
    </row>
    <row r="25" spans="1:18" ht="22.95" customHeight="1">
      <c r="A25" s="9" t="s">
        <v>170</v>
      </c>
      <c r="B25" s="9" t="s">
        <v>279</v>
      </c>
      <c r="C25" s="10" t="s">
        <v>35</v>
      </c>
      <c r="D25" s="10" t="s">
        <v>280</v>
      </c>
      <c r="E25" s="10">
        <v>5800</v>
      </c>
      <c r="F25" s="10">
        <v>1080000</v>
      </c>
      <c r="G25" s="10">
        <v>790000</v>
      </c>
      <c r="H25" s="11">
        <v>0.88</v>
      </c>
      <c r="I25" s="11">
        <v>0.25</v>
      </c>
      <c r="J25" s="10">
        <v>377</v>
      </c>
      <c r="K25" s="11">
        <v>0.22</v>
      </c>
      <c r="L25" s="12">
        <v>3.5</v>
      </c>
      <c r="M25" s="10">
        <v>125</v>
      </c>
      <c r="N25" s="11">
        <v>0.7</v>
      </c>
      <c r="O25" s="10">
        <v>2320</v>
      </c>
      <c r="P25" s="10">
        <v>25</v>
      </c>
      <c r="Q25" s="10" t="s">
        <v>231</v>
      </c>
      <c r="R25" s="10" t="s">
        <v>281</v>
      </c>
    </row>
    <row r="26" spans="1:18" ht="22.95" customHeight="1">
      <c r="A26" s="9" t="s">
        <v>171</v>
      </c>
      <c r="B26" s="9" t="s">
        <v>282</v>
      </c>
      <c r="C26" s="10" t="s">
        <v>35</v>
      </c>
      <c r="D26" s="10" t="s">
        <v>283</v>
      </c>
      <c r="E26" s="10">
        <v>6400</v>
      </c>
      <c r="F26" s="10">
        <v>920000</v>
      </c>
      <c r="G26" s="10">
        <v>1660000</v>
      </c>
      <c r="H26" s="11">
        <v>0.84</v>
      </c>
      <c r="I26" s="11">
        <v>0.16</v>
      </c>
      <c r="J26" s="10">
        <v>512</v>
      </c>
      <c r="K26" s="11">
        <v>0.15</v>
      </c>
      <c r="L26" s="12">
        <v>3.1</v>
      </c>
      <c r="M26" s="10">
        <v>155</v>
      </c>
      <c r="N26" s="11">
        <v>0.85</v>
      </c>
      <c r="O26" s="10">
        <v>1920</v>
      </c>
      <c r="P26" s="10">
        <v>50</v>
      </c>
      <c r="Q26" s="10" t="s">
        <v>235</v>
      </c>
      <c r="R26" s="10" t="s">
        <v>284</v>
      </c>
    </row>
    <row r="27" spans="1:18" ht="22.95" customHeight="1">
      <c r="A27" s="1"/>
      <c r="B27" s="1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</row>
    <row r="28" spans="1:18" ht="22.95" customHeight="1">
      <c r="A28" s="1"/>
      <c r="B28" s="1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</row>
    <row r="29" spans="1:18" ht="22.9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ht="22.9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22.9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22.9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</sheetData>
  <dataValidations count="5">
    <dataValidation type="list" sqref="C7:C26" xr:uid="{00000000-0002-0000-0500-000000000000}">
      <formula1>"North,Central,South,West"</formula1>
    </dataValidation>
    <dataValidation type="list" sqref="Q7:Q26" xr:uid="{00000000-0002-0000-0500-000001000000}">
      <formula1>"Feasibility,Survey,Design"</formula1>
    </dataValidation>
    <dataValidation type="decimal" sqref="N7:N26 K7:K26 H7:I26" xr:uid="{00000000-0002-0000-0500-000002000000}">
      <formula1>0</formula1>
      <formula2>1</formula2>
    </dataValidation>
    <dataValidation type="decimal" operator="greaterThanOrEqual" sqref="O7:P26 M7:M26 J7:J26 E7:G26" xr:uid="{00000000-0002-0000-0500-000006000000}">
      <formula1>0</formula1>
    </dataValidation>
    <dataValidation type="decimal" operator="greaterThan" sqref="L7:L26" xr:uid="{00000000-0002-0000-0500-00000D000000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41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C7" sqref="C7"/>
    </sheetView>
  </sheetViews>
  <sheetFormatPr defaultRowHeight="13.8"/>
  <cols>
    <col min="1" max="1" width="17" customWidth="1"/>
    <col min="2" max="2" width="29" customWidth="1"/>
    <col min="3" max="11" width="17" customWidth="1"/>
  </cols>
  <sheetData>
    <row r="1" spans="1:11" ht="22.9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2.95" customHeight="1">
      <c r="A2" s="2" t="s">
        <v>285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22.9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ht="22.95" customHeight="1">
      <c r="A4" s="4" t="s">
        <v>286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22.9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57" customHeight="1">
      <c r="A6" s="5" t="s">
        <v>125</v>
      </c>
      <c r="B6" s="5" t="s">
        <v>126</v>
      </c>
      <c r="C6" s="5" t="s">
        <v>287</v>
      </c>
      <c r="D6" s="5" t="s">
        <v>288</v>
      </c>
      <c r="E6" s="5" t="s">
        <v>289</v>
      </c>
      <c r="F6" s="5" t="s">
        <v>290</v>
      </c>
      <c r="G6" s="5" t="s">
        <v>291</v>
      </c>
      <c r="H6" s="5" t="s">
        <v>292</v>
      </c>
      <c r="I6" s="5" t="s">
        <v>293</v>
      </c>
      <c r="J6" s="5" t="s">
        <v>294</v>
      </c>
      <c r="K6" s="5" t="s">
        <v>295</v>
      </c>
    </row>
    <row r="7" spans="1:11" ht="22.95" customHeight="1">
      <c r="A7" s="1" t="s">
        <v>152</v>
      </c>
      <c r="B7" s="1" t="str">
        <f>INDEX(Buildings!$B$7:$B$26,MATCH($A7,Buildings!$A$7:$A$26,0))</f>
        <v>Alder Library</v>
      </c>
      <c r="C7" s="7">
        <f>IF(COUNTIFS(Buildings!$A$7:$A$26,$A7)&lt;&gt;1,1,0)+IF(NOT(ISNUMBER(INDEX(Buildings!$E$7:$E$26,MATCH($A7,Buildings!$A$7:$A$26,0)))),1,0)+IF(NOT(ISNUMBER(INDEX(Buildings!$F$7:$F$26,MATCH($A7,Buildings!$A$7:$A$26,0)))),1,0)+IF(NOT(ISNUMBER(INDEX(Buildings!$G$7:$G$26,MATCH($A7,Buildings!$A$7:$A$26,0)))),1,0)+IF(NOT(ISNUMBER(INDEX(Buildings!$H$7:$H$26,MATCH($A7,Buildings!$A$7:$A$26,0)))),1,0)+IF(NOT(ISNUMBER(INDEX(Buildings!$I$7:$I$26,MATCH($A7,Buildings!$A$7:$A$26,0)))),1,0)+IF(NOT(ISNUMBER(INDEX(Buildings!$J$7:$J$26,MATCH($A7,Buildings!$A$7:$A$26,0)))),1,0)+IF(NOT(ISNUMBER(INDEX(Buildings!$K$7:$K$26,MATCH($A7,Buildings!$A$7:$A$26,0)))),1,0)+IF(NOT(ISNUMBER(INDEX(Buildings!$L$7:$L$26,MATCH($A7,Buildings!$A$7:$A$26,0)))),1,0)+IF(NOT(ISNUMBER(INDEX(Buildings!$M$7:$M$26,MATCH($A7,Buildings!$A$7:$A$26,0)))),1,0)+IF(NOT(ISNUMBER(INDEX(Buildings!$N$7:$N$26,MATCH($A7,Buildings!$A$7:$A$26,0)))),1,0)+IF(NOT(ISNUMBER(INDEX(Buildings!$O$7:$O$26,MATCH($A7,Buildings!$A$7:$A$26,0)))),1,0)+IF(NOT(ISNUMBER(INDEX(Buildings!$P$7:$P$26,MATCH($A7,Buildings!$A$7:$A$26,0)))),1,0)+IF(INDEX(Buildings!$E$7:$E$26,MATCH($A7,Buildings!$A$7:$A$26,0))&lt;=0,1,0)+IF(INDEX(Buildings!$F$7:$F$26,MATCH($A7,Buildings!$A$7:$A$26,0))&lt;0,1,0)+IF(INDEX(Buildings!$G$7:$G$26,MATCH($A7,Buildings!$A$7:$A$26,0))&lt;0,1,0)+IF(INDEX(Buildings!$H$7:$H$26,MATCH($A7,Buildings!$A$7:$A$26,0))&lt;=0,1,0)+IF(INDEX(Buildings!$H$7:$H$26,MATCH($A7,Buildings!$A$7:$A$26,0))&gt;1,1,0)+IF(INDEX(Buildings!$I$7:$I$26,MATCH($A7,Buildings!$A$7:$A$26,0))&lt;0,1,0)+IF(INDEX(Buildings!$I$7:$I$26,MATCH($A7,Buildings!$A$7:$A$26,0))&gt;1,1,0)+IF(INDEX(Buildings!$K$7:$K$26,MATCH($A7,Buildings!$A$7:$A$26,0))&lt;0,1,0)+IF(INDEX(Buildings!$K$7:$K$26,MATCH($A7,Buildings!$A$7:$A$26,0))&gt;1,1,0)+IF(INDEX(Buildings!$L$7:$L$26,MATCH($A7,Buildings!$A$7:$A$26,0))&lt;=0,1,0)+IF(INDEX(Buildings!$N$7:$N$26,MATCH($A7,Buildings!$A$7:$A$26,0))&lt;0,1,0)+IF(INDEX(Buildings!$N$7:$N$26,MATCH($A7,Buildings!$A$7:$A$26,0))&gt;1,1,0)+IF(INDEX(Buildings!$O$7:$O$26,MATCH($A7,Buildings!$A$7:$A$26,0))&lt;0,1,0)+IF(INDEX(Buildings!$O$7:$O$26,MATCH($A7,Buildings!$A$7:$A$26,0))&gt;INDEX(Buildings!$E$7:$E$26,MATCH($A7,Buildings!$A$7:$A$26,0)),1,0)+IF(INDEX(Buildings!$P$7:$P$26,MATCH($A7,Buildings!$A$7:$A$26,0))&lt;0,1,0)+IF(INDEX(Buildings!$M$7:$M$26,MATCH($A7,Buildings!$A$7:$A$26,0))&lt;0,1,0)+IF(INDEX(Buildings!$J$7:$J$26,MATCH($A7,Buildings!$A$7:$A$26,0))&lt;=0,1,0)+IF(COUNTIFS(Assumptions!$B$7:$B$18,"&lt;=0")&gt;0,1,0)+IF(COUNT(Assumptions!$B$7:$B$23)&lt;&gt;17,1,0)+IF(INDEX(Consultant!$C$7:$C$26,MATCH($A7,Consultant!$A$7:$A$26,0))&lt;=0,1,0)+IF(INDEX(Consultant!$D$7:$D$26,MATCH($A7,Consultant!$A$7:$A$26,0))&lt;=0,1,0)</f>
        <v>0</v>
      </c>
      <c r="D7" s="7">
        <f>COUNTIFS(Buildings!$A$7:$A$26,$A7)</f>
        <v>1</v>
      </c>
      <c r="E7" s="31">
        <f>INDEX(Energy!$I$7:$I$26,MATCH($A7,Energy!$A$7:$A$26,0))-INDEX(Energy!$G$7:$G$26,MATCH($A7,Energy!$A$7:$A$26,0))*(1-INDEX(Buildings!$I$7:$I$26,MATCH($A7,Buildings!$A$7:$A$26,0)))</f>
        <v>0</v>
      </c>
      <c r="F7" s="31">
        <f>INDEX(Energy!$P$7:$P$26,MATCH($A7,Energy!$A$7:$A$26,0))+INDEX(Energy!$N$7:$N$26,MATCH($A7,Energy!$A$7:$A$26,0))-INDEX(Buildings!$G$7:$G$26,MATCH($A7,Buildings!$A$7:$A$26,0))-INDEX(Energy!$K$7:$K$26,MATCH($A7,Energy!$A$7:$A$26,0))</f>
        <v>0</v>
      </c>
      <c r="G7" s="31">
        <f>INDEX(Energy!$M$7:$M$26,MATCH($A7,Energy!$A$7:$A$26,0))-INDEX(Energy!$N$7:$N$26,MATCH($A7,Energy!$A$7:$A$26,0))-INDEX(Energy!$O$7:$O$26,MATCH($A7,Energy!$A$7:$A$26,0))</f>
        <v>0</v>
      </c>
      <c r="H7" s="31">
        <f>INDEX(Consultant!$Q$7:$Q$26,MATCH($A7,Consultant!$A$7:$A$26,0))</f>
        <v>0</v>
      </c>
      <c r="I7" s="31">
        <f>INDEX(CAPEX!$S$7:$S$26,MATCH($A7,CAPEX!$A$7:$A$26,0))-(INDEX(CAPEX!$L$7:$L$26,MATCH($A7,CAPEX!$A$7:$A$26,0))+INDEX(CAPEX!$M$7:$M$26,MATCH($A7,CAPEX!$A$7:$A$26,0))+INDEX(CAPEX!$N$7:$N$26,MATCH($A7,CAPEX!$A$7:$A$26,0))+INDEX(CAPEX!$O$7:$O$26,MATCH($A7,CAPEX!$A$7:$A$26,0)))*(1+Assumptions!$B$19)*(1+Assumptions!$B$20)</f>
        <v>0</v>
      </c>
      <c r="J7" s="31">
        <f>INDEX(CAPEX!$G$7:$G$26,MATCH($A7,CAPEX!$A$7:$A$26,0))-INDEX(CAPEX!$D$7:$D$26,MATCH($A7,CAPEX!$A$7:$A$26,0))</f>
        <v>32.25</v>
      </c>
      <c r="K7" s="7" t="str">
        <f t="shared" ref="K7:K26" si="0">IF(C7&gt;0,"REVIEW",IF(AND(ABS(E7)&lt;0.01,ABS(F7)&lt;0.01,ABS(G7)&lt;0.01,ABS(H7)&lt;0.01,ABS(I7)&lt;0.01,J7&gt;=0),"PASS","FAIL"))</f>
        <v>PASS</v>
      </c>
    </row>
    <row r="8" spans="1:11" ht="22.95" customHeight="1">
      <c r="A8" s="6" t="s">
        <v>153</v>
      </c>
      <c r="B8" s="6" t="str">
        <f>INDEX(Buildings!$B$7:$B$26,MATCH($A8,Buildings!$A$7:$A$26,0))</f>
        <v>Birch Teaching Centre</v>
      </c>
      <c r="C8" s="8">
        <f>IF(COUNTIFS(Buildings!$A$7:$A$26,$A8)&lt;&gt;1,1,0)+IF(NOT(ISNUMBER(INDEX(Buildings!$E$7:$E$26,MATCH($A8,Buildings!$A$7:$A$26,0)))),1,0)+IF(NOT(ISNUMBER(INDEX(Buildings!$F$7:$F$26,MATCH($A8,Buildings!$A$7:$A$26,0)))),1,0)+IF(NOT(ISNUMBER(INDEX(Buildings!$G$7:$G$26,MATCH($A8,Buildings!$A$7:$A$26,0)))),1,0)+IF(NOT(ISNUMBER(INDEX(Buildings!$H$7:$H$26,MATCH($A8,Buildings!$A$7:$A$26,0)))),1,0)+IF(NOT(ISNUMBER(INDEX(Buildings!$I$7:$I$26,MATCH($A8,Buildings!$A$7:$A$26,0)))),1,0)+IF(NOT(ISNUMBER(INDEX(Buildings!$J$7:$J$26,MATCH($A8,Buildings!$A$7:$A$26,0)))),1,0)+IF(NOT(ISNUMBER(INDEX(Buildings!$K$7:$K$26,MATCH($A8,Buildings!$A$7:$A$26,0)))),1,0)+IF(NOT(ISNUMBER(INDEX(Buildings!$L$7:$L$26,MATCH($A8,Buildings!$A$7:$A$26,0)))),1,0)+IF(NOT(ISNUMBER(INDEX(Buildings!$M$7:$M$26,MATCH($A8,Buildings!$A$7:$A$26,0)))),1,0)+IF(NOT(ISNUMBER(INDEX(Buildings!$N$7:$N$26,MATCH($A8,Buildings!$A$7:$A$26,0)))),1,0)+IF(NOT(ISNUMBER(INDEX(Buildings!$O$7:$O$26,MATCH($A8,Buildings!$A$7:$A$26,0)))),1,0)+IF(NOT(ISNUMBER(INDEX(Buildings!$P$7:$P$26,MATCH($A8,Buildings!$A$7:$A$26,0)))),1,0)+IF(INDEX(Buildings!$E$7:$E$26,MATCH($A8,Buildings!$A$7:$A$26,0))&lt;=0,1,0)+IF(INDEX(Buildings!$F$7:$F$26,MATCH($A8,Buildings!$A$7:$A$26,0))&lt;0,1,0)+IF(INDEX(Buildings!$G$7:$G$26,MATCH($A8,Buildings!$A$7:$A$26,0))&lt;0,1,0)+IF(INDEX(Buildings!$H$7:$H$26,MATCH($A8,Buildings!$A$7:$A$26,0))&lt;=0,1,0)+IF(INDEX(Buildings!$H$7:$H$26,MATCH($A8,Buildings!$A$7:$A$26,0))&gt;1,1,0)+IF(INDEX(Buildings!$I$7:$I$26,MATCH($A8,Buildings!$A$7:$A$26,0))&lt;0,1,0)+IF(INDEX(Buildings!$I$7:$I$26,MATCH($A8,Buildings!$A$7:$A$26,0))&gt;1,1,0)+IF(INDEX(Buildings!$K$7:$K$26,MATCH($A8,Buildings!$A$7:$A$26,0))&lt;0,1,0)+IF(INDEX(Buildings!$K$7:$K$26,MATCH($A8,Buildings!$A$7:$A$26,0))&gt;1,1,0)+IF(INDEX(Buildings!$L$7:$L$26,MATCH($A8,Buildings!$A$7:$A$26,0))&lt;=0,1,0)+IF(INDEX(Buildings!$N$7:$N$26,MATCH($A8,Buildings!$A$7:$A$26,0))&lt;0,1,0)+IF(INDEX(Buildings!$N$7:$N$26,MATCH($A8,Buildings!$A$7:$A$26,0))&gt;1,1,0)+IF(INDEX(Buildings!$O$7:$O$26,MATCH($A8,Buildings!$A$7:$A$26,0))&lt;0,1,0)+IF(INDEX(Buildings!$O$7:$O$26,MATCH($A8,Buildings!$A$7:$A$26,0))&gt;INDEX(Buildings!$E$7:$E$26,MATCH($A8,Buildings!$A$7:$A$26,0)),1,0)+IF(INDEX(Buildings!$P$7:$P$26,MATCH($A8,Buildings!$A$7:$A$26,0))&lt;0,1,0)+IF(INDEX(Buildings!$M$7:$M$26,MATCH($A8,Buildings!$A$7:$A$26,0))&lt;0,1,0)+IF(INDEX(Buildings!$J$7:$J$26,MATCH($A8,Buildings!$A$7:$A$26,0))&lt;=0,1,0)+IF(COUNTIFS(Assumptions!$B$7:$B$18,"&lt;=0")&gt;0,1,0)+IF(COUNT(Assumptions!$B$7:$B$23)&lt;&gt;17,1,0)+IF(INDEX(Consultant!$C$7:$C$26,MATCH($A8,Consultant!$A$7:$A$26,0))&lt;=0,1,0)+IF(INDEX(Consultant!$D$7:$D$26,MATCH($A8,Consultant!$A$7:$A$26,0))&lt;=0,1,0)</f>
        <v>0</v>
      </c>
      <c r="D8" s="8">
        <f>COUNTIFS(Buildings!$A$7:$A$26,$A8)</f>
        <v>1</v>
      </c>
      <c r="E8" s="32">
        <f>INDEX(Energy!$I$7:$I$26,MATCH($A8,Energy!$A$7:$A$26,0))-INDEX(Energy!$G$7:$G$26,MATCH($A8,Energy!$A$7:$A$26,0))*(1-INDEX(Buildings!$I$7:$I$26,MATCH($A8,Buildings!$A$7:$A$26,0)))</f>
        <v>0</v>
      </c>
      <c r="F8" s="32">
        <f>INDEX(Energy!$P$7:$P$26,MATCH($A8,Energy!$A$7:$A$26,0))+INDEX(Energy!$N$7:$N$26,MATCH($A8,Energy!$A$7:$A$26,0))-INDEX(Buildings!$G$7:$G$26,MATCH($A8,Buildings!$A$7:$A$26,0))-INDEX(Energy!$K$7:$K$26,MATCH($A8,Energy!$A$7:$A$26,0))</f>
        <v>0</v>
      </c>
      <c r="G8" s="32">
        <f>INDEX(Energy!$M$7:$M$26,MATCH($A8,Energy!$A$7:$A$26,0))-INDEX(Energy!$N$7:$N$26,MATCH($A8,Energy!$A$7:$A$26,0))-INDEX(Energy!$O$7:$O$26,MATCH($A8,Energy!$A$7:$A$26,0))</f>
        <v>0</v>
      </c>
      <c r="H8" s="32">
        <f>INDEX(Consultant!$Q$7:$Q$26,MATCH($A8,Consultant!$A$7:$A$26,0))</f>
        <v>0</v>
      </c>
      <c r="I8" s="32">
        <f>INDEX(CAPEX!$S$7:$S$26,MATCH($A8,CAPEX!$A$7:$A$26,0))-(INDEX(CAPEX!$L$7:$L$26,MATCH($A8,CAPEX!$A$7:$A$26,0))+INDEX(CAPEX!$M$7:$M$26,MATCH($A8,CAPEX!$A$7:$A$26,0))+INDEX(CAPEX!$N$7:$N$26,MATCH($A8,CAPEX!$A$7:$A$26,0))+INDEX(CAPEX!$O$7:$O$26,MATCH($A8,CAPEX!$A$7:$A$26,0)))*(1+Assumptions!$B$19)*(1+Assumptions!$B$20)</f>
        <v>0</v>
      </c>
      <c r="J8" s="32">
        <f>INDEX(CAPEX!$G$7:$G$26,MATCH($A8,CAPEX!$A$7:$A$26,0))-INDEX(CAPEX!$D$7:$D$26,MATCH($A8,CAPEX!$A$7:$A$26,0))</f>
        <v>98.399999999999977</v>
      </c>
      <c r="K8" s="8" t="str">
        <f t="shared" si="0"/>
        <v>PASS</v>
      </c>
    </row>
    <row r="9" spans="1:11" ht="22.95" customHeight="1">
      <c r="A9" s="1" t="s">
        <v>154</v>
      </c>
      <c r="B9" s="1" t="str">
        <f>INDEX(Buildings!$B$7:$B$26,MATCH($A9,Buildings!$A$7:$A$26,0))</f>
        <v>Cedar Chemistry Lab</v>
      </c>
      <c r="C9" s="7">
        <f>IF(COUNTIFS(Buildings!$A$7:$A$26,$A9)&lt;&gt;1,1,0)+IF(NOT(ISNUMBER(INDEX(Buildings!$E$7:$E$26,MATCH($A9,Buildings!$A$7:$A$26,0)))),1,0)+IF(NOT(ISNUMBER(INDEX(Buildings!$F$7:$F$26,MATCH($A9,Buildings!$A$7:$A$26,0)))),1,0)+IF(NOT(ISNUMBER(INDEX(Buildings!$G$7:$G$26,MATCH($A9,Buildings!$A$7:$A$26,0)))),1,0)+IF(NOT(ISNUMBER(INDEX(Buildings!$H$7:$H$26,MATCH($A9,Buildings!$A$7:$A$26,0)))),1,0)+IF(NOT(ISNUMBER(INDEX(Buildings!$I$7:$I$26,MATCH($A9,Buildings!$A$7:$A$26,0)))),1,0)+IF(NOT(ISNUMBER(INDEX(Buildings!$J$7:$J$26,MATCH($A9,Buildings!$A$7:$A$26,0)))),1,0)+IF(NOT(ISNUMBER(INDEX(Buildings!$K$7:$K$26,MATCH($A9,Buildings!$A$7:$A$26,0)))),1,0)+IF(NOT(ISNUMBER(INDEX(Buildings!$L$7:$L$26,MATCH($A9,Buildings!$A$7:$A$26,0)))),1,0)+IF(NOT(ISNUMBER(INDEX(Buildings!$M$7:$M$26,MATCH($A9,Buildings!$A$7:$A$26,0)))),1,0)+IF(NOT(ISNUMBER(INDEX(Buildings!$N$7:$N$26,MATCH($A9,Buildings!$A$7:$A$26,0)))),1,0)+IF(NOT(ISNUMBER(INDEX(Buildings!$O$7:$O$26,MATCH($A9,Buildings!$A$7:$A$26,0)))),1,0)+IF(NOT(ISNUMBER(INDEX(Buildings!$P$7:$P$26,MATCH($A9,Buildings!$A$7:$A$26,0)))),1,0)+IF(INDEX(Buildings!$E$7:$E$26,MATCH($A9,Buildings!$A$7:$A$26,0))&lt;=0,1,0)+IF(INDEX(Buildings!$F$7:$F$26,MATCH($A9,Buildings!$A$7:$A$26,0))&lt;0,1,0)+IF(INDEX(Buildings!$G$7:$G$26,MATCH($A9,Buildings!$A$7:$A$26,0))&lt;0,1,0)+IF(INDEX(Buildings!$H$7:$H$26,MATCH($A9,Buildings!$A$7:$A$26,0))&lt;=0,1,0)+IF(INDEX(Buildings!$H$7:$H$26,MATCH($A9,Buildings!$A$7:$A$26,0))&gt;1,1,0)+IF(INDEX(Buildings!$I$7:$I$26,MATCH($A9,Buildings!$A$7:$A$26,0))&lt;0,1,0)+IF(INDEX(Buildings!$I$7:$I$26,MATCH($A9,Buildings!$A$7:$A$26,0))&gt;1,1,0)+IF(INDEX(Buildings!$K$7:$K$26,MATCH($A9,Buildings!$A$7:$A$26,0))&lt;0,1,0)+IF(INDEX(Buildings!$K$7:$K$26,MATCH($A9,Buildings!$A$7:$A$26,0))&gt;1,1,0)+IF(INDEX(Buildings!$L$7:$L$26,MATCH($A9,Buildings!$A$7:$A$26,0))&lt;=0,1,0)+IF(INDEX(Buildings!$N$7:$N$26,MATCH($A9,Buildings!$A$7:$A$26,0))&lt;0,1,0)+IF(INDEX(Buildings!$N$7:$N$26,MATCH($A9,Buildings!$A$7:$A$26,0))&gt;1,1,0)+IF(INDEX(Buildings!$O$7:$O$26,MATCH($A9,Buildings!$A$7:$A$26,0))&lt;0,1,0)+IF(INDEX(Buildings!$O$7:$O$26,MATCH($A9,Buildings!$A$7:$A$26,0))&gt;INDEX(Buildings!$E$7:$E$26,MATCH($A9,Buildings!$A$7:$A$26,0)),1,0)+IF(INDEX(Buildings!$P$7:$P$26,MATCH($A9,Buildings!$A$7:$A$26,0))&lt;0,1,0)+IF(INDEX(Buildings!$M$7:$M$26,MATCH($A9,Buildings!$A$7:$A$26,0))&lt;0,1,0)+IF(INDEX(Buildings!$J$7:$J$26,MATCH($A9,Buildings!$A$7:$A$26,0))&lt;=0,1,0)+IF(COUNTIFS(Assumptions!$B$7:$B$18,"&lt;=0")&gt;0,1,0)+IF(COUNT(Assumptions!$B$7:$B$23)&lt;&gt;17,1,0)+IF(INDEX(Consultant!$C$7:$C$26,MATCH($A9,Consultant!$A$7:$A$26,0))&lt;=0,1,0)+IF(INDEX(Consultant!$D$7:$D$26,MATCH($A9,Consultant!$A$7:$A$26,0))&lt;=0,1,0)</f>
        <v>0</v>
      </c>
      <c r="D9" s="7">
        <f>COUNTIFS(Buildings!$A$7:$A$26,$A9)</f>
        <v>1</v>
      </c>
      <c r="E9" s="31">
        <f>INDEX(Energy!$I$7:$I$26,MATCH($A9,Energy!$A$7:$A$26,0))-INDEX(Energy!$G$7:$G$26,MATCH($A9,Energy!$A$7:$A$26,0))*(1-INDEX(Buildings!$I$7:$I$26,MATCH($A9,Buildings!$A$7:$A$26,0)))</f>
        <v>0</v>
      </c>
      <c r="F9" s="31">
        <f>INDEX(Energy!$P$7:$P$26,MATCH($A9,Energy!$A$7:$A$26,0))+INDEX(Energy!$N$7:$N$26,MATCH($A9,Energy!$A$7:$A$26,0))-INDEX(Buildings!$G$7:$G$26,MATCH($A9,Buildings!$A$7:$A$26,0))-INDEX(Energy!$K$7:$K$26,MATCH($A9,Energy!$A$7:$A$26,0))</f>
        <v>0</v>
      </c>
      <c r="G9" s="31">
        <f>INDEX(Energy!$M$7:$M$26,MATCH($A9,Energy!$A$7:$A$26,0))-INDEX(Energy!$N$7:$N$26,MATCH($A9,Energy!$A$7:$A$26,0))-INDEX(Energy!$O$7:$O$26,MATCH($A9,Energy!$A$7:$A$26,0))</f>
        <v>0</v>
      </c>
      <c r="H9" s="31">
        <f>INDEX(Consultant!$Q$7:$Q$26,MATCH($A9,Consultant!$A$7:$A$26,0))</f>
        <v>0</v>
      </c>
      <c r="I9" s="31">
        <f>INDEX(CAPEX!$S$7:$S$26,MATCH($A9,CAPEX!$A$7:$A$26,0))-(INDEX(CAPEX!$L$7:$L$26,MATCH($A9,CAPEX!$A$7:$A$26,0))+INDEX(CAPEX!$M$7:$M$26,MATCH($A9,CAPEX!$A$7:$A$26,0))+INDEX(CAPEX!$N$7:$N$26,MATCH($A9,CAPEX!$A$7:$A$26,0))+INDEX(CAPEX!$O$7:$O$26,MATCH($A9,CAPEX!$A$7:$A$26,0)))*(1+Assumptions!$B$19)*(1+Assumptions!$B$20)</f>
        <v>0</v>
      </c>
      <c r="J9" s="31">
        <f>INDEX(CAPEX!$G$7:$G$26,MATCH($A9,CAPEX!$A$7:$A$26,0))-INDEX(CAPEX!$D$7:$D$26,MATCH($A9,CAPEX!$A$7:$A$26,0))</f>
        <v>26.799999999999955</v>
      </c>
      <c r="K9" s="7" t="str">
        <f t="shared" si="0"/>
        <v>PASS</v>
      </c>
    </row>
    <row r="10" spans="1:11" ht="22.95" customHeight="1">
      <c r="A10" s="6" t="s">
        <v>155</v>
      </c>
      <c r="B10" s="6" t="str">
        <f>INDEX(Buildings!$B$7:$B$26,MATCH($A10,Buildings!$A$7:$A$26,0))</f>
        <v>Dove Administration</v>
      </c>
      <c r="C10" s="8">
        <f>IF(COUNTIFS(Buildings!$A$7:$A$26,$A10)&lt;&gt;1,1,0)+IF(NOT(ISNUMBER(INDEX(Buildings!$E$7:$E$26,MATCH($A10,Buildings!$A$7:$A$26,0)))),1,0)+IF(NOT(ISNUMBER(INDEX(Buildings!$F$7:$F$26,MATCH($A10,Buildings!$A$7:$A$26,0)))),1,0)+IF(NOT(ISNUMBER(INDEX(Buildings!$G$7:$G$26,MATCH($A10,Buildings!$A$7:$A$26,0)))),1,0)+IF(NOT(ISNUMBER(INDEX(Buildings!$H$7:$H$26,MATCH($A10,Buildings!$A$7:$A$26,0)))),1,0)+IF(NOT(ISNUMBER(INDEX(Buildings!$I$7:$I$26,MATCH($A10,Buildings!$A$7:$A$26,0)))),1,0)+IF(NOT(ISNUMBER(INDEX(Buildings!$J$7:$J$26,MATCH($A10,Buildings!$A$7:$A$26,0)))),1,0)+IF(NOT(ISNUMBER(INDEX(Buildings!$K$7:$K$26,MATCH($A10,Buildings!$A$7:$A$26,0)))),1,0)+IF(NOT(ISNUMBER(INDEX(Buildings!$L$7:$L$26,MATCH($A10,Buildings!$A$7:$A$26,0)))),1,0)+IF(NOT(ISNUMBER(INDEX(Buildings!$M$7:$M$26,MATCH($A10,Buildings!$A$7:$A$26,0)))),1,0)+IF(NOT(ISNUMBER(INDEX(Buildings!$N$7:$N$26,MATCH($A10,Buildings!$A$7:$A$26,0)))),1,0)+IF(NOT(ISNUMBER(INDEX(Buildings!$O$7:$O$26,MATCH($A10,Buildings!$A$7:$A$26,0)))),1,0)+IF(NOT(ISNUMBER(INDEX(Buildings!$P$7:$P$26,MATCH($A10,Buildings!$A$7:$A$26,0)))),1,0)+IF(INDEX(Buildings!$E$7:$E$26,MATCH($A10,Buildings!$A$7:$A$26,0))&lt;=0,1,0)+IF(INDEX(Buildings!$F$7:$F$26,MATCH($A10,Buildings!$A$7:$A$26,0))&lt;0,1,0)+IF(INDEX(Buildings!$G$7:$G$26,MATCH($A10,Buildings!$A$7:$A$26,0))&lt;0,1,0)+IF(INDEX(Buildings!$H$7:$H$26,MATCH($A10,Buildings!$A$7:$A$26,0))&lt;=0,1,0)+IF(INDEX(Buildings!$H$7:$H$26,MATCH($A10,Buildings!$A$7:$A$26,0))&gt;1,1,0)+IF(INDEX(Buildings!$I$7:$I$26,MATCH($A10,Buildings!$A$7:$A$26,0))&lt;0,1,0)+IF(INDEX(Buildings!$I$7:$I$26,MATCH($A10,Buildings!$A$7:$A$26,0))&gt;1,1,0)+IF(INDEX(Buildings!$K$7:$K$26,MATCH($A10,Buildings!$A$7:$A$26,0))&lt;0,1,0)+IF(INDEX(Buildings!$K$7:$K$26,MATCH($A10,Buildings!$A$7:$A$26,0))&gt;1,1,0)+IF(INDEX(Buildings!$L$7:$L$26,MATCH($A10,Buildings!$A$7:$A$26,0))&lt;=0,1,0)+IF(INDEX(Buildings!$N$7:$N$26,MATCH($A10,Buildings!$A$7:$A$26,0))&lt;0,1,0)+IF(INDEX(Buildings!$N$7:$N$26,MATCH($A10,Buildings!$A$7:$A$26,0))&gt;1,1,0)+IF(INDEX(Buildings!$O$7:$O$26,MATCH($A10,Buildings!$A$7:$A$26,0))&lt;0,1,0)+IF(INDEX(Buildings!$O$7:$O$26,MATCH($A10,Buildings!$A$7:$A$26,0))&gt;INDEX(Buildings!$E$7:$E$26,MATCH($A10,Buildings!$A$7:$A$26,0)),1,0)+IF(INDEX(Buildings!$P$7:$P$26,MATCH($A10,Buildings!$A$7:$A$26,0))&lt;0,1,0)+IF(INDEX(Buildings!$M$7:$M$26,MATCH($A10,Buildings!$A$7:$A$26,0))&lt;0,1,0)+IF(INDEX(Buildings!$J$7:$J$26,MATCH($A10,Buildings!$A$7:$A$26,0))&lt;=0,1,0)+IF(COUNTIFS(Assumptions!$B$7:$B$18,"&lt;=0")&gt;0,1,0)+IF(COUNT(Assumptions!$B$7:$B$23)&lt;&gt;17,1,0)+IF(INDEX(Consultant!$C$7:$C$26,MATCH($A10,Consultant!$A$7:$A$26,0))&lt;=0,1,0)+IF(INDEX(Consultant!$D$7:$D$26,MATCH($A10,Consultant!$A$7:$A$26,0))&lt;=0,1,0)</f>
        <v>0</v>
      </c>
      <c r="D10" s="8">
        <f>COUNTIFS(Buildings!$A$7:$A$26,$A10)</f>
        <v>1</v>
      </c>
      <c r="E10" s="32">
        <f>INDEX(Energy!$I$7:$I$26,MATCH($A10,Energy!$A$7:$A$26,0))-INDEX(Energy!$G$7:$G$26,MATCH($A10,Energy!$A$7:$A$26,0))*(1-INDEX(Buildings!$I$7:$I$26,MATCH($A10,Buildings!$A$7:$A$26,0)))</f>
        <v>0</v>
      </c>
      <c r="F10" s="32">
        <f>INDEX(Energy!$P$7:$P$26,MATCH($A10,Energy!$A$7:$A$26,0))+INDEX(Energy!$N$7:$N$26,MATCH($A10,Energy!$A$7:$A$26,0))-INDEX(Buildings!$G$7:$G$26,MATCH($A10,Buildings!$A$7:$A$26,0))-INDEX(Energy!$K$7:$K$26,MATCH($A10,Energy!$A$7:$A$26,0))</f>
        <v>0</v>
      </c>
      <c r="G10" s="32">
        <f>INDEX(Energy!$M$7:$M$26,MATCH($A10,Energy!$A$7:$A$26,0))-INDEX(Energy!$N$7:$N$26,MATCH($A10,Energy!$A$7:$A$26,0))-INDEX(Energy!$O$7:$O$26,MATCH($A10,Energy!$A$7:$A$26,0))</f>
        <v>0</v>
      </c>
      <c r="H10" s="32">
        <f>INDEX(Consultant!$Q$7:$Q$26,MATCH($A10,Consultant!$A$7:$A$26,0))</f>
        <v>0</v>
      </c>
      <c r="I10" s="32">
        <f>INDEX(CAPEX!$S$7:$S$26,MATCH($A10,CAPEX!$A$7:$A$26,0))-(INDEX(CAPEX!$L$7:$L$26,MATCH($A10,CAPEX!$A$7:$A$26,0))+INDEX(CAPEX!$M$7:$M$26,MATCH($A10,CAPEX!$A$7:$A$26,0))+INDEX(CAPEX!$N$7:$N$26,MATCH($A10,CAPEX!$A$7:$A$26,0))+INDEX(CAPEX!$O$7:$O$26,MATCH($A10,CAPEX!$A$7:$A$26,0)))*(1+Assumptions!$B$19)*(1+Assumptions!$B$20)</f>
        <v>0</v>
      </c>
      <c r="J10" s="32">
        <f>INDEX(CAPEX!$G$7:$G$26,MATCH($A10,CAPEX!$A$7:$A$26,0))-INDEX(CAPEX!$D$7:$D$26,MATCH($A10,CAPEX!$A$7:$A$26,0))</f>
        <v>78.319999999999993</v>
      </c>
      <c r="K10" s="8" t="str">
        <f t="shared" si="0"/>
        <v>PASS</v>
      </c>
    </row>
    <row r="11" spans="1:11" ht="22.95" customHeight="1">
      <c r="A11" s="1" t="s">
        <v>156</v>
      </c>
      <c r="B11" s="1" t="str">
        <f>INDEX(Buildings!$B$7:$B$26,MATCH($A11,Buildings!$A$7:$A$26,0))</f>
        <v>Elm Residence</v>
      </c>
      <c r="C11" s="7">
        <f>IF(COUNTIFS(Buildings!$A$7:$A$26,$A11)&lt;&gt;1,1,0)+IF(NOT(ISNUMBER(INDEX(Buildings!$E$7:$E$26,MATCH($A11,Buildings!$A$7:$A$26,0)))),1,0)+IF(NOT(ISNUMBER(INDEX(Buildings!$F$7:$F$26,MATCH($A11,Buildings!$A$7:$A$26,0)))),1,0)+IF(NOT(ISNUMBER(INDEX(Buildings!$G$7:$G$26,MATCH($A11,Buildings!$A$7:$A$26,0)))),1,0)+IF(NOT(ISNUMBER(INDEX(Buildings!$H$7:$H$26,MATCH($A11,Buildings!$A$7:$A$26,0)))),1,0)+IF(NOT(ISNUMBER(INDEX(Buildings!$I$7:$I$26,MATCH($A11,Buildings!$A$7:$A$26,0)))),1,0)+IF(NOT(ISNUMBER(INDEX(Buildings!$J$7:$J$26,MATCH($A11,Buildings!$A$7:$A$26,0)))),1,0)+IF(NOT(ISNUMBER(INDEX(Buildings!$K$7:$K$26,MATCH($A11,Buildings!$A$7:$A$26,0)))),1,0)+IF(NOT(ISNUMBER(INDEX(Buildings!$L$7:$L$26,MATCH($A11,Buildings!$A$7:$A$26,0)))),1,0)+IF(NOT(ISNUMBER(INDEX(Buildings!$M$7:$M$26,MATCH($A11,Buildings!$A$7:$A$26,0)))),1,0)+IF(NOT(ISNUMBER(INDEX(Buildings!$N$7:$N$26,MATCH($A11,Buildings!$A$7:$A$26,0)))),1,0)+IF(NOT(ISNUMBER(INDEX(Buildings!$O$7:$O$26,MATCH($A11,Buildings!$A$7:$A$26,0)))),1,0)+IF(NOT(ISNUMBER(INDEX(Buildings!$P$7:$P$26,MATCH($A11,Buildings!$A$7:$A$26,0)))),1,0)+IF(INDEX(Buildings!$E$7:$E$26,MATCH($A11,Buildings!$A$7:$A$26,0))&lt;=0,1,0)+IF(INDEX(Buildings!$F$7:$F$26,MATCH($A11,Buildings!$A$7:$A$26,0))&lt;0,1,0)+IF(INDEX(Buildings!$G$7:$G$26,MATCH($A11,Buildings!$A$7:$A$26,0))&lt;0,1,0)+IF(INDEX(Buildings!$H$7:$H$26,MATCH($A11,Buildings!$A$7:$A$26,0))&lt;=0,1,0)+IF(INDEX(Buildings!$H$7:$H$26,MATCH($A11,Buildings!$A$7:$A$26,0))&gt;1,1,0)+IF(INDEX(Buildings!$I$7:$I$26,MATCH($A11,Buildings!$A$7:$A$26,0))&lt;0,1,0)+IF(INDEX(Buildings!$I$7:$I$26,MATCH($A11,Buildings!$A$7:$A$26,0))&gt;1,1,0)+IF(INDEX(Buildings!$K$7:$K$26,MATCH($A11,Buildings!$A$7:$A$26,0))&lt;0,1,0)+IF(INDEX(Buildings!$K$7:$K$26,MATCH($A11,Buildings!$A$7:$A$26,0))&gt;1,1,0)+IF(INDEX(Buildings!$L$7:$L$26,MATCH($A11,Buildings!$A$7:$A$26,0))&lt;=0,1,0)+IF(INDEX(Buildings!$N$7:$N$26,MATCH($A11,Buildings!$A$7:$A$26,0))&lt;0,1,0)+IF(INDEX(Buildings!$N$7:$N$26,MATCH($A11,Buildings!$A$7:$A$26,0))&gt;1,1,0)+IF(INDEX(Buildings!$O$7:$O$26,MATCH($A11,Buildings!$A$7:$A$26,0))&lt;0,1,0)+IF(INDEX(Buildings!$O$7:$O$26,MATCH($A11,Buildings!$A$7:$A$26,0))&gt;INDEX(Buildings!$E$7:$E$26,MATCH($A11,Buildings!$A$7:$A$26,0)),1,0)+IF(INDEX(Buildings!$P$7:$P$26,MATCH($A11,Buildings!$A$7:$A$26,0))&lt;0,1,0)+IF(INDEX(Buildings!$M$7:$M$26,MATCH($A11,Buildings!$A$7:$A$26,0))&lt;0,1,0)+IF(INDEX(Buildings!$J$7:$J$26,MATCH($A11,Buildings!$A$7:$A$26,0))&lt;=0,1,0)+IF(COUNTIFS(Assumptions!$B$7:$B$18,"&lt;=0")&gt;0,1,0)+IF(COUNT(Assumptions!$B$7:$B$23)&lt;&gt;17,1,0)+IF(INDEX(Consultant!$C$7:$C$26,MATCH($A11,Consultant!$A$7:$A$26,0))&lt;=0,1,0)+IF(INDEX(Consultant!$D$7:$D$26,MATCH($A11,Consultant!$A$7:$A$26,0))&lt;=0,1,0)</f>
        <v>0</v>
      </c>
      <c r="D11" s="7">
        <f>COUNTIFS(Buildings!$A$7:$A$26,$A11)</f>
        <v>1</v>
      </c>
      <c r="E11" s="31">
        <f>INDEX(Energy!$I$7:$I$26,MATCH($A11,Energy!$A$7:$A$26,0))-INDEX(Energy!$G$7:$G$26,MATCH($A11,Energy!$A$7:$A$26,0))*(1-INDEX(Buildings!$I$7:$I$26,MATCH($A11,Buildings!$A$7:$A$26,0)))</f>
        <v>0</v>
      </c>
      <c r="F11" s="31">
        <f>INDEX(Energy!$P$7:$P$26,MATCH($A11,Energy!$A$7:$A$26,0))+INDEX(Energy!$N$7:$N$26,MATCH($A11,Energy!$A$7:$A$26,0))-INDEX(Buildings!$G$7:$G$26,MATCH($A11,Buildings!$A$7:$A$26,0))-INDEX(Energy!$K$7:$K$26,MATCH($A11,Energy!$A$7:$A$26,0))</f>
        <v>0</v>
      </c>
      <c r="G11" s="31">
        <f>INDEX(Energy!$M$7:$M$26,MATCH($A11,Energy!$A$7:$A$26,0))-INDEX(Energy!$N$7:$N$26,MATCH($A11,Energy!$A$7:$A$26,0))-INDEX(Energy!$O$7:$O$26,MATCH($A11,Energy!$A$7:$A$26,0))</f>
        <v>0</v>
      </c>
      <c r="H11" s="31">
        <f>INDEX(Consultant!$Q$7:$Q$26,MATCH($A11,Consultant!$A$7:$A$26,0))</f>
        <v>0</v>
      </c>
      <c r="I11" s="31">
        <f>INDEX(CAPEX!$S$7:$S$26,MATCH($A11,CAPEX!$A$7:$A$26,0))-(INDEX(CAPEX!$L$7:$L$26,MATCH($A11,CAPEX!$A$7:$A$26,0))+INDEX(CAPEX!$M$7:$M$26,MATCH($A11,CAPEX!$A$7:$A$26,0))+INDEX(CAPEX!$N$7:$N$26,MATCH($A11,CAPEX!$A$7:$A$26,0))+INDEX(CAPEX!$O$7:$O$26,MATCH($A11,CAPEX!$A$7:$A$26,0)))*(1+Assumptions!$B$19)*(1+Assumptions!$B$20)</f>
        <v>0</v>
      </c>
      <c r="J11" s="31">
        <f>INDEX(CAPEX!$G$7:$G$26,MATCH($A11,CAPEX!$A$7:$A$26,0))-INDEX(CAPEX!$D$7:$D$26,MATCH($A11,CAPEX!$A$7:$A$26,0))</f>
        <v>32.800000000000011</v>
      </c>
      <c r="K11" s="7" t="str">
        <f t="shared" si="0"/>
        <v>PASS</v>
      </c>
    </row>
    <row r="12" spans="1:11" ht="22.95" customHeight="1">
      <c r="A12" s="6" t="s">
        <v>157</v>
      </c>
      <c r="B12" s="6" t="str">
        <f>INDEX(Buildings!$B$7:$B$26,MATCH($A12,Buildings!$A$7:$A$26,0))</f>
        <v>Fern Engineering</v>
      </c>
      <c r="C12" s="8">
        <f>IF(COUNTIFS(Buildings!$A$7:$A$26,$A12)&lt;&gt;1,1,0)+IF(NOT(ISNUMBER(INDEX(Buildings!$E$7:$E$26,MATCH($A12,Buildings!$A$7:$A$26,0)))),1,0)+IF(NOT(ISNUMBER(INDEX(Buildings!$F$7:$F$26,MATCH($A12,Buildings!$A$7:$A$26,0)))),1,0)+IF(NOT(ISNUMBER(INDEX(Buildings!$G$7:$G$26,MATCH($A12,Buildings!$A$7:$A$26,0)))),1,0)+IF(NOT(ISNUMBER(INDEX(Buildings!$H$7:$H$26,MATCH($A12,Buildings!$A$7:$A$26,0)))),1,0)+IF(NOT(ISNUMBER(INDEX(Buildings!$I$7:$I$26,MATCH($A12,Buildings!$A$7:$A$26,0)))),1,0)+IF(NOT(ISNUMBER(INDEX(Buildings!$J$7:$J$26,MATCH($A12,Buildings!$A$7:$A$26,0)))),1,0)+IF(NOT(ISNUMBER(INDEX(Buildings!$K$7:$K$26,MATCH($A12,Buildings!$A$7:$A$26,0)))),1,0)+IF(NOT(ISNUMBER(INDEX(Buildings!$L$7:$L$26,MATCH($A12,Buildings!$A$7:$A$26,0)))),1,0)+IF(NOT(ISNUMBER(INDEX(Buildings!$M$7:$M$26,MATCH($A12,Buildings!$A$7:$A$26,0)))),1,0)+IF(NOT(ISNUMBER(INDEX(Buildings!$N$7:$N$26,MATCH($A12,Buildings!$A$7:$A$26,0)))),1,0)+IF(NOT(ISNUMBER(INDEX(Buildings!$O$7:$O$26,MATCH($A12,Buildings!$A$7:$A$26,0)))),1,0)+IF(NOT(ISNUMBER(INDEX(Buildings!$P$7:$P$26,MATCH($A12,Buildings!$A$7:$A$26,0)))),1,0)+IF(INDEX(Buildings!$E$7:$E$26,MATCH($A12,Buildings!$A$7:$A$26,0))&lt;=0,1,0)+IF(INDEX(Buildings!$F$7:$F$26,MATCH($A12,Buildings!$A$7:$A$26,0))&lt;0,1,0)+IF(INDEX(Buildings!$G$7:$G$26,MATCH($A12,Buildings!$A$7:$A$26,0))&lt;0,1,0)+IF(INDEX(Buildings!$H$7:$H$26,MATCH($A12,Buildings!$A$7:$A$26,0))&lt;=0,1,0)+IF(INDEX(Buildings!$H$7:$H$26,MATCH($A12,Buildings!$A$7:$A$26,0))&gt;1,1,0)+IF(INDEX(Buildings!$I$7:$I$26,MATCH($A12,Buildings!$A$7:$A$26,0))&lt;0,1,0)+IF(INDEX(Buildings!$I$7:$I$26,MATCH($A12,Buildings!$A$7:$A$26,0))&gt;1,1,0)+IF(INDEX(Buildings!$K$7:$K$26,MATCH($A12,Buildings!$A$7:$A$26,0))&lt;0,1,0)+IF(INDEX(Buildings!$K$7:$K$26,MATCH($A12,Buildings!$A$7:$A$26,0))&gt;1,1,0)+IF(INDEX(Buildings!$L$7:$L$26,MATCH($A12,Buildings!$A$7:$A$26,0))&lt;=0,1,0)+IF(INDEX(Buildings!$N$7:$N$26,MATCH($A12,Buildings!$A$7:$A$26,0))&lt;0,1,0)+IF(INDEX(Buildings!$N$7:$N$26,MATCH($A12,Buildings!$A$7:$A$26,0))&gt;1,1,0)+IF(INDEX(Buildings!$O$7:$O$26,MATCH($A12,Buildings!$A$7:$A$26,0))&lt;0,1,0)+IF(INDEX(Buildings!$O$7:$O$26,MATCH($A12,Buildings!$A$7:$A$26,0))&gt;INDEX(Buildings!$E$7:$E$26,MATCH($A12,Buildings!$A$7:$A$26,0)),1,0)+IF(INDEX(Buildings!$P$7:$P$26,MATCH($A12,Buildings!$A$7:$A$26,0))&lt;0,1,0)+IF(INDEX(Buildings!$M$7:$M$26,MATCH($A12,Buildings!$A$7:$A$26,0))&lt;0,1,0)+IF(INDEX(Buildings!$J$7:$J$26,MATCH($A12,Buildings!$A$7:$A$26,0))&lt;=0,1,0)+IF(COUNTIFS(Assumptions!$B$7:$B$18,"&lt;=0")&gt;0,1,0)+IF(COUNT(Assumptions!$B$7:$B$23)&lt;&gt;17,1,0)+IF(INDEX(Consultant!$C$7:$C$26,MATCH($A12,Consultant!$A$7:$A$26,0))&lt;=0,1,0)+IF(INDEX(Consultant!$D$7:$D$26,MATCH($A12,Consultant!$A$7:$A$26,0))&lt;=0,1,0)</f>
        <v>0</v>
      </c>
      <c r="D12" s="8">
        <f>COUNTIFS(Buildings!$A$7:$A$26,$A12)</f>
        <v>1</v>
      </c>
      <c r="E12" s="32">
        <f>INDEX(Energy!$I$7:$I$26,MATCH($A12,Energy!$A$7:$A$26,0))-INDEX(Energy!$G$7:$G$26,MATCH($A12,Energy!$A$7:$A$26,0))*(1-INDEX(Buildings!$I$7:$I$26,MATCH($A12,Buildings!$A$7:$A$26,0)))</f>
        <v>0</v>
      </c>
      <c r="F12" s="32">
        <f>INDEX(Energy!$P$7:$P$26,MATCH($A12,Energy!$A$7:$A$26,0))+INDEX(Energy!$N$7:$N$26,MATCH($A12,Energy!$A$7:$A$26,0))-INDEX(Buildings!$G$7:$G$26,MATCH($A12,Buildings!$A$7:$A$26,0))-INDEX(Energy!$K$7:$K$26,MATCH($A12,Energy!$A$7:$A$26,0))</f>
        <v>0</v>
      </c>
      <c r="G12" s="32">
        <f>INDEX(Energy!$M$7:$M$26,MATCH($A12,Energy!$A$7:$A$26,0))-INDEX(Energy!$N$7:$N$26,MATCH($A12,Energy!$A$7:$A$26,0))-INDEX(Energy!$O$7:$O$26,MATCH($A12,Energy!$A$7:$A$26,0))</f>
        <v>0</v>
      </c>
      <c r="H12" s="32">
        <f>INDEX(Consultant!$Q$7:$Q$26,MATCH($A12,Consultant!$A$7:$A$26,0))</f>
        <v>0</v>
      </c>
      <c r="I12" s="32">
        <f>INDEX(CAPEX!$S$7:$S$26,MATCH($A12,CAPEX!$A$7:$A$26,0))-(INDEX(CAPEX!$L$7:$L$26,MATCH($A12,CAPEX!$A$7:$A$26,0))+INDEX(CAPEX!$M$7:$M$26,MATCH($A12,CAPEX!$A$7:$A$26,0))+INDEX(CAPEX!$N$7:$N$26,MATCH($A12,CAPEX!$A$7:$A$26,0))+INDEX(CAPEX!$O$7:$O$26,MATCH($A12,CAPEX!$A$7:$A$26,0)))*(1+Assumptions!$B$19)*(1+Assumptions!$B$20)</f>
        <v>0</v>
      </c>
      <c r="J12" s="32">
        <f>INDEX(CAPEX!$G$7:$G$26,MATCH($A12,CAPEX!$A$7:$A$26,0))-INDEX(CAPEX!$D$7:$D$26,MATCH($A12,CAPEX!$A$7:$A$26,0))</f>
        <v>15.5</v>
      </c>
      <c r="K12" s="8" t="str">
        <f t="shared" si="0"/>
        <v>PASS</v>
      </c>
    </row>
    <row r="13" spans="1:11" ht="22.95" customHeight="1">
      <c r="A13" s="1" t="s">
        <v>158</v>
      </c>
      <c r="B13" s="1" t="str">
        <f>INDEX(Buildings!$B$7:$B$26,MATCH($A13,Buildings!$A$7:$A$26,0))</f>
        <v>Grove Humanities</v>
      </c>
      <c r="C13" s="7">
        <f>IF(COUNTIFS(Buildings!$A$7:$A$26,$A13)&lt;&gt;1,1,0)+IF(NOT(ISNUMBER(INDEX(Buildings!$E$7:$E$26,MATCH($A13,Buildings!$A$7:$A$26,0)))),1,0)+IF(NOT(ISNUMBER(INDEX(Buildings!$F$7:$F$26,MATCH($A13,Buildings!$A$7:$A$26,0)))),1,0)+IF(NOT(ISNUMBER(INDEX(Buildings!$G$7:$G$26,MATCH($A13,Buildings!$A$7:$A$26,0)))),1,0)+IF(NOT(ISNUMBER(INDEX(Buildings!$H$7:$H$26,MATCH($A13,Buildings!$A$7:$A$26,0)))),1,0)+IF(NOT(ISNUMBER(INDEX(Buildings!$I$7:$I$26,MATCH($A13,Buildings!$A$7:$A$26,0)))),1,0)+IF(NOT(ISNUMBER(INDEX(Buildings!$J$7:$J$26,MATCH($A13,Buildings!$A$7:$A$26,0)))),1,0)+IF(NOT(ISNUMBER(INDEX(Buildings!$K$7:$K$26,MATCH($A13,Buildings!$A$7:$A$26,0)))),1,0)+IF(NOT(ISNUMBER(INDEX(Buildings!$L$7:$L$26,MATCH($A13,Buildings!$A$7:$A$26,0)))),1,0)+IF(NOT(ISNUMBER(INDEX(Buildings!$M$7:$M$26,MATCH($A13,Buildings!$A$7:$A$26,0)))),1,0)+IF(NOT(ISNUMBER(INDEX(Buildings!$N$7:$N$26,MATCH($A13,Buildings!$A$7:$A$26,0)))),1,0)+IF(NOT(ISNUMBER(INDEX(Buildings!$O$7:$O$26,MATCH($A13,Buildings!$A$7:$A$26,0)))),1,0)+IF(NOT(ISNUMBER(INDEX(Buildings!$P$7:$P$26,MATCH($A13,Buildings!$A$7:$A$26,0)))),1,0)+IF(INDEX(Buildings!$E$7:$E$26,MATCH($A13,Buildings!$A$7:$A$26,0))&lt;=0,1,0)+IF(INDEX(Buildings!$F$7:$F$26,MATCH($A13,Buildings!$A$7:$A$26,0))&lt;0,1,0)+IF(INDEX(Buildings!$G$7:$G$26,MATCH($A13,Buildings!$A$7:$A$26,0))&lt;0,1,0)+IF(INDEX(Buildings!$H$7:$H$26,MATCH($A13,Buildings!$A$7:$A$26,0))&lt;=0,1,0)+IF(INDEX(Buildings!$H$7:$H$26,MATCH($A13,Buildings!$A$7:$A$26,0))&gt;1,1,0)+IF(INDEX(Buildings!$I$7:$I$26,MATCH($A13,Buildings!$A$7:$A$26,0))&lt;0,1,0)+IF(INDEX(Buildings!$I$7:$I$26,MATCH($A13,Buildings!$A$7:$A$26,0))&gt;1,1,0)+IF(INDEX(Buildings!$K$7:$K$26,MATCH($A13,Buildings!$A$7:$A$26,0))&lt;0,1,0)+IF(INDEX(Buildings!$K$7:$K$26,MATCH($A13,Buildings!$A$7:$A$26,0))&gt;1,1,0)+IF(INDEX(Buildings!$L$7:$L$26,MATCH($A13,Buildings!$A$7:$A$26,0))&lt;=0,1,0)+IF(INDEX(Buildings!$N$7:$N$26,MATCH($A13,Buildings!$A$7:$A$26,0))&lt;0,1,0)+IF(INDEX(Buildings!$N$7:$N$26,MATCH($A13,Buildings!$A$7:$A$26,0))&gt;1,1,0)+IF(INDEX(Buildings!$O$7:$O$26,MATCH($A13,Buildings!$A$7:$A$26,0))&lt;0,1,0)+IF(INDEX(Buildings!$O$7:$O$26,MATCH($A13,Buildings!$A$7:$A$26,0))&gt;INDEX(Buildings!$E$7:$E$26,MATCH($A13,Buildings!$A$7:$A$26,0)),1,0)+IF(INDEX(Buildings!$P$7:$P$26,MATCH($A13,Buildings!$A$7:$A$26,0))&lt;0,1,0)+IF(INDEX(Buildings!$M$7:$M$26,MATCH($A13,Buildings!$A$7:$A$26,0))&lt;0,1,0)+IF(INDEX(Buildings!$J$7:$J$26,MATCH($A13,Buildings!$A$7:$A$26,0))&lt;=0,1,0)+IF(COUNTIFS(Assumptions!$B$7:$B$18,"&lt;=0")&gt;0,1,0)+IF(COUNT(Assumptions!$B$7:$B$23)&lt;&gt;17,1,0)+IF(INDEX(Consultant!$C$7:$C$26,MATCH($A13,Consultant!$A$7:$A$26,0))&lt;=0,1,0)+IF(INDEX(Consultant!$D$7:$D$26,MATCH($A13,Consultant!$A$7:$A$26,0))&lt;=0,1,0)</f>
        <v>0</v>
      </c>
      <c r="D13" s="7">
        <f>COUNTIFS(Buildings!$A$7:$A$26,$A13)</f>
        <v>1</v>
      </c>
      <c r="E13" s="31">
        <f>INDEX(Energy!$I$7:$I$26,MATCH($A13,Energy!$A$7:$A$26,0))-INDEX(Energy!$G$7:$G$26,MATCH($A13,Energy!$A$7:$A$26,0))*(1-INDEX(Buildings!$I$7:$I$26,MATCH($A13,Buildings!$A$7:$A$26,0)))</f>
        <v>0</v>
      </c>
      <c r="F13" s="31">
        <f>INDEX(Energy!$P$7:$P$26,MATCH($A13,Energy!$A$7:$A$26,0))+INDEX(Energy!$N$7:$N$26,MATCH($A13,Energy!$A$7:$A$26,0))-INDEX(Buildings!$G$7:$G$26,MATCH($A13,Buildings!$A$7:$A$26,0))-INDEX(Energy!$K$7:$K$26,MATCH($A13,Energy!$A$7:$A$26,0))</f>
        <v>0</v>
      </c>
      <c r="G13" s="31">
        <f>INDEX(Energy!$M$7:$M$26,MATCH($A13,Energy!$A$7:$A$26,0))-INDEX(Energy!$N$7:$N$26,MATCH($A13,Energy!$A$7:$A$26,0))-INDEX(Energy!$O$7:$O$26,MATCH($A13,Energy!$A$7:$A$26,0))</f>
        <v>0</v>
      </c>
      <c r="H13" s="31">
        <f>INDEX(Consultant!$Q$7:$Q$26,MATCH($A13,Consultant!$A$7:$A$26,0))</f>
        <v>0</v>
      </c>
      <c r="I13" s="31">
        <f>INDEX(CAPEX!$S$7:$S$26,MATCH($A13,CAPEX!$A$7:$A$26,0))-(INDEX(CAPEX!$L$7:$L$26,MATCH($A13,CAPEX!$A$7:$A$26,0))+INDEX(CAPEX!$M$7:$M$26,MATCH($A13,CAPEX!$A$7:$A$26,0))+INDEX(CAPEX!$N$7:$N$26,MATCH($A13,CAPEX!$A$7:$A$26,0))+INDEX(CAPEX!$O$7:$O$26,MATCH($A13,CAPEX!$A$7:$A$26,0)))*(1+Assumptions!$B$19)*(1+Assumptions!$B$20)</f>
        <v>0</v>
      </c>
      <c r="J13" s="31">
        <f>INDEX(CAPEX!$G$7:$G$26,MATCH($A13,CAPEX!$A$7:$A$26,0))-INDEX(CAPEX!$D$7:$D$26,MATCH($A13,CAPEX!$A$7:$A$26,0))</f>
        <v>20.799999999999983</v>
      </c>
      <c r="K13" s="7" t="str">
        <f t="shared" si="0"/>
        <v>PASS</v>
      </c>
    </row>
    <row r="14" spans="1:11" ht="22.95" customHeight="1">
      <c r="A14" s="6" t="s">
        <v>159</v>
      </c>
      <c r="B14" s="6" t="str">
        <f>INDEX(Buildings!$B$7:$B$26,MATCH($A14,Buildings!$A$7:$A$26,0))</f>
        <v>Hazel Sports Centre</v>
      </c>
      <c r="C14" s="8">
        <f>IF(COUNTIFS(Buildings!$A$7:$A$26,$A14)&lt;&gt;1,1,0)+IF(NOT(ISNUMBER(INDEX(Buildings!$E$7:$E$26,MATCH($A14,Buildings!$A$7:$A$26,0)))),1,0)+IF(NOT(ISNUMBER(INDEX(Buildings!$F$7:$F$26,MATCH($A14,Buildings!$A$7:$A$26,0)))),1,0)+IF(NOT(ISNUMBER(INDEX(Buildings!$G$7:$G$26,MATCH($A14,Buildings!$A$7:$A$26,0)))),1,0)+IF(NOT(ISNUMBER(INDEX(Buildings!$H$7:$H$26,MATCH($A14,Buildings!$A$7:$A$26,0)))),1,0)+IF(NOT(ISNUMBER(INDEX(Buildings!$I$7:$I$26,MATCH($A14,Buildings!$A$7:$A$26,0)))),1,0)+IF(NOT(ISNUMBER(INDEX(Buildings!$J$7:$J$26,MATCH($A14,Buildings!$A$7:$A$26,0)))),1,0)+IF(NOT(ISNUMBER(INDEX(Buildings!$K$7:$K$26,MATCH($A14,Buildings!$A$7:$A$26,0)))),1,0)+IF(NOT(ISNUMBER(INDEX(Buildings!$L$7:$L$26,MATCH($A14,Buildings!$A$7:$A$26,0)))),1,0)+IF(NOT(ISNUMBER(INDEX(Buildings!$M$7:$M$26,MATCH($A14,Buildings!$A$7:$A$26,0)))),1,0)+IF(NOT(ISNUMBER(INDEX(Buildings!$N$7:$N$26,MATCH($A14,Buildings!$A$7:$A$26,0)))),1,0)+IF(NOT(ISNUMBER(INDEX(Buildings!$O$7:$O$26,MATCH($A14,Buildings!$A$7:$A$26,0)))),1,0)+IF(NOT(ISNUMBER(INDEX(Buildings!$P$7:$P$26,MATCH($A14,Buildings!$A$7:$A$26,0)))),1,0)+IF(INDEX(Buildings!$E$7:$E$26,MATCH($A14,Buildings!$A$7:$A$26,0))&lt;=0,1,0)+IF(INDEX(Buildings!$F$7:$F$26,MATCH($A14,Buildings!$A$7:$A$26,0))&lt;0,1,0)+IF(INDEX(Buildings!$G$7:$G$26,MATCH($A14,Buildings!$A$7:$A$26,0))&lt;0,1,0)+IF(INDEX(Buildings!$H$7:$H$26,MATCH($A14,Buildings!$A$7:$A$26,0))&lt;=0,1,0)+IF(INDEX(Buildings!$H$7:$H$26,MATCH($A14,Buildings!$A$7:$A$26,0))&gt;1,1,0)+IF(INDEX(Buildings!$I$7:$I$26,MATCH($A14,Buildings!$A$7:$A$26,0))&lt;0,1,0)+IF(INDEX(Buildings!$I$7:$I$26,MATCH($A14,Buildings!$A$7:$A$26,0))&gt;1,1,0)+IF(INDEX(Buildings!$K$7:$K$26,MATCH($A14,Buildings!$A$7:$A$26,0))&lt;0,1,0)+IF(INDEX(Buildings!$K$7:$K$26,MATCH($A14,Buildings!$A$7:$A$26,0))&gt;1,1,0)+IF(INDEX(Buildings!$L$7:$L$26,MATCH($A14,Buildings!$A$7:$A$26,0))&lt;=0,1,0)+IF(INDEX(Buildings!$N$7:$N$26,MATCH($A14,Buildings!$A$7:$A$26,0))&lt;0,1,0)+IF(INDEX(Buildings!$N$7:$N$26,MATCH($A14,Buildings!$A$7:$A$26,0))&gt;1,1,0)+IF(INDEX(Buildings!$O$7:$O$26,MATCH($A14,Buildings!$A$7:$A$26,0))&lt;0,1,0)+IF(INDEX(Buildings!$O$7:$O$26,MATCH($A14,Buildings!$A$7:$A$26,0))&gt;INDEX(Buildings!$E$7:$E$26,MATCH($A14,Buildings!$A$7:$A$26,0)),1,0)+IF(INDEX(Buildings!$P$7:$P$26,MATCH($A14,Buildings!$A$7:$A$26,0))&lt;0,1,0)+IF(INDEX(Buildings!$M$7:$M$26,MATCH($A14,Buildings!$A$7:$A$26,0))&lt;0,1,0)+IF(INDEX(Buildings!$J$7:$J$26,MATCH($A14,Buildings!$A$7:$A$26,0))&lt;=0,1,0)+IF(COUNTIFS(Assumptions!$B$7:$B$18,"&lt;=0")&gt;0,1,0)+IF(COUNT(Assumptions!$B$7:$B$23)&lt;&gt;17,1,0)+IF(INDEX(Consultant!$C$7:$C$26,MATCH($A14,Consultant!$A$7:$A$26,0))&lt;=0,1,0)+IF(INDEX(Consultant!$D$7:$D$26,MATCH($A14,Consultant!$A$7:$A$26,0))&lt;=0,1,0)</f>
        <v>0</v>
      </c>
      <c r="D14" s="8">
        <f>COUNTIFS(Buildings!$A$7:$A$26,$A14)</f>
        <v>1</v>
      </c>
      <c r="E14" s="32">
        <f>INDEX(Energy!$I$7:$I$26,MATCH($A14,Energy!$A$7:$A$26,0))-INDEX(Energy!$G$7:$G$26,MATCH($A14,Energy!$A$7:$A$26,0))*(1-INDEX(Buildings!$I$7:$I$26,MATCH($A14,Buildings!$A$7:$A$26,0)))</f>
        <v>0</v>
      </c>
      <c r="F14" s="32">
        <f>INDEX(Energy!$P$7:$P$26,MATCH($A14,Energy!$A$7:$A$26,0))+INDEX(Energy!$N$7:$N$26,MATCH($A14,Energy!$A$7:$A$26,0))-INDEX(Buildings!$G$7:$G$26,MATCH($A14,Buildings!$A$7:$A$26,0))-INDEX(Energy!$K$7:$K$26,MATCH($A14,Energy!$A$7:$A$26,0))</f>
        <v>0</v>
      </c>
      <c r="G14" s="32">
        <f>INDEX(Energy!$M$7:$M$26,MATCH($A14,Energy!$A$7:$A$26,0))-INDEX(Energy!$N$7:$N$26,MATCH($A14,Energy!$A$7:$A$26,0))-INDEX(Energy!$O$7:$O$26,MATCH($A14,Energy!$A$7:$A$26,0))</f>
        <v>0</v>
      </c>
      <c r="H14" s="32">
        <f>INDEX(Consultant!$Q$7:$Q$26,MATCH($A14,Consultant!$A$7:$A$26,0))</f>
        <v>0</v>
      </c>
      <c r="I14" s="32">
        <f>INDEX(CAPEX!$S$7:$S$26,MATCH($A14,CAPEX!$A$7:$A$26,0))-(INDEX(CAPEX!$L$7:$L$26,MATCH($A14,CAPEX!$A$7:$A$26,0))+INDEX(CAPEX!$M$7:$M$26,MATCH($A14,CAPEX!$A$7:$A$26,0))+INDEX(CAPEX!$N$7:$N$26,MATCH($A14,CAPEX!$A$7:$A$26,0))+INDEX(CAPEX!$O$7:$O$26,MATCH($A14,CAPEX!$A$7:$A$26,0)))*(1+Assumptions!$B$19)*(1+Assumptions!$B$20)</f>
        <v>0</v>
      </c>
      <c r="J14" s="32">
        <f>INDEX(CAPEX!$G$7:$G$26,MATCH($A14,CAPEX!$A$7:$A$26,0))-INDEX(CAPEX!$D$7:$D$26,MATCH($A14,CAPEX!$A$7:$A$26,0))</f>
        <v>56.5</v>
      </c>
      <c r="K14" s="8" t="str">
        <f t="shared" si="0"/>
        <v>PASS</v>
      </c>
    </row>
    <row r="15" spans="1:11" ht="22.95" customHeight="1">
      <c r="A15" s="1" t="s">
        <v>160</v>
      </c>
      <c r="B15" s="1" t="str">
        <f>INDEX(Buildings!$B$7:$B$26,MATCH($A15,Buildings!$A$7:$A$26,0))</f>
        <v>Iris Computing</v>
      </c>
      <c r="C15" s="7">
        <f>IF(COUNTIFS(Buildings!$A$7:$A$26,$A15)&lt;&gt;1,1,0)+IF(NOT(ISNUMBER(INDEX(Buildings!$E$7:$E$26,MATCH($A15,Buildings!$A$7:$A$26,0)))),1,0)+IF(NOT(ISNUMBER(INDEX(Buildings!$F$7:$F$26,MATCH($A15,Buildings!$A$7:$A$26,0)))),1,0)+IF(NOT(ISNUMBER(INDEX(Buildings!$G$7:$G$26,MATCH($A15,Buildings!$A$7:$A$26,0)))),1,0)+IF(NOT(ISNUMBER(INDEX(Buildings!$H$7:$H$26,MATCH($A15,Buildings!$A$7:$A$26,0)))),1,0)+IF(NOT(ISNUMBER(INDEX(Buildings!$I$7:$I$26,MATCH($A15,Buildings!$A$7:$A$26,0)))),1,0)+IF(NOT(ISNUMBER(INDEX(Buildings!$J$7:$J$26,MATCH($A15,Buildings!$A$7:$A$26,0)))),1,0)+IF(NOT(ISNUMBER(INDEX(Buildings!$K$7:$K$26,MATCH($A15,Buildings!$A$7:$A$26,0)))),1,0)+IF(NOT(ISNUMBER(INDEX(Buildings!$L$7:$L$26,MATCH($A15,Buildings!$A$7:$A$26,0)))),1,0)+IF(NOT(ISNUMBER(INDEX(Buildings!$M$7:$M$26,MATCH($A15,Buildings!$A$7:$A$26,0)))),1,0)+IF(NOT(ISNUMBER(INDEX(Buildings!$N$7:$N$26,MATCH($A15,Buildings!$A$7:$A$26,0)))),1,0)+IF(NOT(ISNUMBER(INDEX(Buildings!$O$7:$O$26,MATCH($A15,Buildings!$A$7:$A$26,0)))),1,0)+IF(NOT(ISNUMBER(INDEX(Buildings!$P$7:$P$26,MATCH($A15,Buildings!$A$7:$A$26,0)))),1,0)+IF(INDEX(Buildings!$E$7:$E$26,MATCH($A15,Buildings!$A$7:$A$26,0))&lt;=0,1,0)+IF(INDEX(Buildings!$F$7:$F$26,MATCH($A15,Buildings!$A$7:$A$26,0))&lt;0,1,0)+IF(INDEX(Buildings!$G$7:$G$26,MATCH($A15,Buildings!$A$7:$A$26,0))&lt;0,1,0)+IF(INDEX(Buildings!$H$7:$H$26,MATCH($A15,Buildings!$A$7:$A$26,0))&lt;=0,1,0)+IF(INDEX(Buildings!$H$7:$H$26,MATCH($A15,Buildings!$A$7:$A$26,0))&gt;1,1,0)+IF(INDEX(Buildings!$I$7:$I$26,MATCH($A15,Buildings!$A$7:$A$26,0))&lt;0,1,0)+IF(INDEX(Buildings!$I$7:$I$26,MATCH($A15,Buildings!$A$7:$A$26,0))&gt;1,1,0)+IF(INDEX(Buildings!$K$7:$K$26,MATCH($A15,Buildings!$A$7:$A$26,0))&lt;0,1,0)+IF(INDEX(Buildings!$K$7:$K$26,MATCH($A15,Buildings!$A$7:$A$26,0))&gt;1,1,0)+IF(INDEX(Buildings!$L$7:$L$26,MATCH($A15,Buildings!$A$7:$A$26,0))&lt;=0,1,0)+IF(INDEX(Buildings!$N$7:$N$26,MATCH($A15,Buildings!$A$7:$A$26,0))&lt;0,1,0)+IF(INDEX(Buildings!$N$7:$N$26,MATCH($A15,Buildings!$A$7:$A$26,0))&gt;1,1,0)+IF(INDEX(Buildings!$O$7:$O$26,MATCH($A15,Buildings!$A$7:$A$26,0))&lt;0,1,0)+IF(INDEX(Buildings!$O$7:$O$26,MATCH($A15,Buildings!$A$7:$A$26,0))&gt;INDEX(Buildings!$E$7:$E$26,MATCH($A15,Buildings!$A$7:$A$26,0)),1,0)+IF(INDEX(Buildings!$P$7:$P$26,MATCH($A15,Buildings!$A$7:$A$26,0))&lt;0,1,0)+IF(INDEX(Buildings!$M$7:$M$26,MATCH($A15,Buildings!$A$7:$A$26,0))&lt;0,1,0)+IF(INDEX(Buildings!$J$7:$J$26,MATCH($A15,Buildings!$A$7:$A$26,0))&lt;=0,1,0)+IF(COUNTIFS(Assumptions!$B$7:$B$18,"&lt;=0")&gt;0,1,0)+IF(COUNT(Assumptions!$B$7:$B$23)&lt;&gt;17,1,0)+IF(INDEX(Consultant!$C$7:$C$26,MATCH($A15,Consultant!$A$7:$A$26,0))&lt;=0,1,0)+IF(INDEX(Consultant!$D$7:$D$26,MATCH($A15,Consultant!$A$7:$A$26,0))&lt;=0,1,0)</f>
        <v>0</v>
      </c>
      <c r="D15" s="7">
        <f>COUNTIFS(Buildings!$A$7:$A$26,$A15)</f>
        <v>1</v>
      </c>
      <c r="E15" s="31">
        <f>INDEX(Energy!$I$7:$I$26,MATCH($A15,Energy!$A$7:$A$26,0))-INDEX(Energy!$G$7:$G$26,MATCH($A15,Energy!$A$7:$A$26,0))*(1-INDEX(Buildings!$I$7:$I$26,MATCH($A15,Buildings!$A$7:$A$26,0)))</f>
        <v>0</v>
      </c>
      <c r="F15" s="31">
        <f>INDEX(Energy!$P$7:$P$26,MATCH($A15,Energy!$A$7:$A$26,0))+INDEX(Energy!$N$7:$N$26,MATCH($A15,Energy!$A$7:$A$26,0))-INDEX(Buildings!$G$7:$G$26,MATCH($A15,Buildings!$A$7:$A$26,0))-INDEX(Energy!$K$7:$K$26,MATCH($A15,Energy!$A$7:$A$26,0))</f>
        <v>-1.3096723705530167E-10</v>
      </c>
      <c r="G15" s="31">
        <f>INDEX(Energy!$M$7:$M$26,MATCH($A15,Energy!$A$7:$A$26,0))-INDEX(Energy!$N$7:$N$26,MATCH($A15,Energy!$A$7:$A$26,0))-INDEX(Energy!$O$7:$O$26,MATCH($A15,Energy!$A$7:$A$26,0))</f>
        <v>0</v>
      </c>
      <c r="H15" s="31">
        <f>INDEX(Consultant!$Q$7:$Q$26,MATCH($A15,Consultant!$A$7:$A$26,0))</f>
        <v>0</v>
      </c>
      <c r="I15" s="31">
        <f>INDEX(CAPEX!$S$7:$S$26,MATCH($A15,CAPEX!$A$7:$A$26,0))-(INDEX(CAPEX!$L$7:$L$26,MATCH($A15,CAPEX!$A$7:$A$26,0))+INDEX(CAPEX!$M$7:$M$26,MATCH($A15,CAPEX!$A$7:$A$26,0))+INDEX(CAPEX!$N$7:$N$26,MATCH($A15,CAPEX!$A$7:$A$26,0))+INDEX(CAPEX!$O$7:$O$26,MATCH($A15,CAPEX!$A$7:$A$26,0)))*(1+Assumptions!$B$19)*(1+Assumptions!$B$20)</f>
        <v>0</v>
      </c>
      <c r="J15" s="31">
        <f>INDEX(CAPEX!$G$7:$G$26,MATCH($A15,CAPEX!$A$7:$A$26,0))-INDEX(CAPEX!$D$7:$D$26,MATCH($A15,CAPEX!$A$7:$A$26,0))</f>
        <v>56.639999999999986</v>
      </c>
      <c r="K15" s="7" t="str">
        <f t="shared" si="0"/>
        <v>PASS</v>
      </c>
    </row>
    <row r="16" spans="1:11" ht="22.95" customHeight="1">
      <c r="A16" s="6" t="s">
        <v>161</v>
      </c>
      <c r="B16" s="6" t="str">
        <f>INDEX(Buildings!$B$7:$B$26,MATCH($A16,Buildings!$A$7:$A$26,0))</f>
        <v>Juniper Research</v>
      </c>
      <c r="C16" s="8">
        <f>IF(COUNTIFS(Buildings!$A$7:$A$26,$A16)&lt;&gt;1,1,0)+IF(NOT(ISNUMBER(INDEX(Buildings!$E$7:$E$26,MATCH($A16,Buildings!$A$7:$A$26,0)))),1,0)+IF(NOT(ISNUMBER(INDEX(Buildings!$F$7:$F$26,MATCH($A16,Buildings!$A$7:$A$26,0)))),1,0)+IF(NOT(ISNUMBER(INDEX(Buildings!$G$7:$G$26,MATCH($A16,Buildings!$A$7:$A$26,0)))),1,0)+IF(NOT(ISNUMBER(INDEX(Buildings!$H$7:$H$26,MATCH($A16,Buildings!$A$7:$A$26,0)))),1,0)+IF(NOT(ISNUMBER(INDEX(Buildings!$I$7:$I$26,MATCH($A16,Buildings!$A$7:$A$26,0)))),1,0)+IF(NOT(ISNUMBER(INDEX(Buildings!$J$7:$J$26,MATCH($A16,Buildings!$A$7:$A$26,0)))),1,0)+IF(NOT(ISNUMBER(INDEX(Buildings!$K$7:$K$26,MATCH($A16,Buildings!$A$7:$A$26,0)))),1,0)+IF(NOT(ISNUMBER(INDEX(Buildings!$L$7:$L$26,MATCH($A16,Buildings!$A$7:$A$26,0)))),1,0)+IF(NOT(ISNUMBER(INDEX(Buildings!$M$7:$M$26,MATCH($A16,Buildings!$A$7:$A$26,0)))),1,0)+IF(NOT(ISNUMBER(INDEX(Buildings!$N$7:$N$26,MATCH($A16,Buildings!$A$7:$A$26,0)))),1,0)+IF(NOT(ISNUMBER(INDEX(Buildings!$O$7:$O$26,MATCH($A16,Buildings!$A$7:$A$26,0)))),1,0)+IF(NOT(ISNUMBER(INDEX(Buildings!$P$7:$P$26,MATCH($A16,Buildings!$A$7:$A$26,0)))),1,0)+IF(INDEX(Buildings!$E$7:$E$26,MATCH($A16,Buildings!$A$7:$A$26,0))&lt;=0,1,0)+IF(INDEX(Buildings!$F$7:$F$26,MATCH($A16,Buildings!$A$7:$A$26,0))&lt;0,1,0)+IF(INDEX(Buildings!$G$7:$G$26,MATCH($A16,Buildings!$A$7:$A$26,0))&lt;0,1,0)+IF(INDEX(Buildings!$H$7:$H$26,MATCH($A16,Buildings!$A$7:$A$26,0))&lt;=0,1,0)+IF(INDEX(Buildings!$H$7:$H$26,MATCH($A16,Buildings!$A$7:$A$26,0))&gt;1,1,0)+IF(INDEX(Buildings!$I$7:$I$26,MATCH($A16,Buildings!$A$7:$A$26,0))&lt;0,1,0)+IF(INDEX(Buildings!$I$7:$I$26,MATCH($A16,Buildings!$A$7:$A$26,0))&gt;1,1,0)+IF(INDEX(Buildings!$K$7:$K$26,MATCH($A16,Buildings!$A$7:$A$26,0))&lt;0,1,0)+IF(INDEX(Buildings!$K$7:$K$26,MATCH($A16,Buildings!$A$7:$A$26,0))&gt;1,1,0)+IF(INDEX(Buildings!$L$7:$L$26,MATCH($A16,Buildings!$A$7:$A$26,0))&lt;=0,1,0)+IF(INDEX(Buildings!$N$7:$N$26,MATCH($A16,Buildings!$A$7:$A$26,0))&lt;0,1,0)+IF(INDEX(Buildings!$N$7:$N$26,MATCH($A16,Buildings!$A$7:$A$26,0))&gt;1,1,0)+IF(INDEX(Buildings!$O$7:$O$26,MATCH($A16,Buildings!$A$7:$A$26,0))&lt;0,1,0)+IF(INDEX(Buildings!$O$7:$O$26,MATCH($A16,Buildings!$A$7:$A$26,0))&gt;INDEX(Buildings!$E$7:$E$26,MATCH($A16,Buildings!$A$7:$A$26,0)),1,0)+IF(INDEX(Buildings!$P$7:$P$26,MATCH($A16,Buildings!$A$7:$A$26,0))&lt;0,1,0)+IF(INDEX(Buildings!$M$7:$M$26,MATCH($A16,Buildings!$A$7:$A$26,0))&lt;0,1,0)+IF(INDEX(Buildings!$J$7:$J$26,MATCH($A16,Buildings!$A$7:$A$26,0))&lt;=0,1,0)+IF(COUNTIFS(Assumptions!$B$7:$B$18,"&lt;=0")&gt;0,1,0)+IF(COUNT(Assumptions!$B$7:$B$23)&lt;&gt;17,1,0)+IF(INDEX(Consultant!$C$7:$C$26,MATCH($A16,Consultant!$A$7:$A$26,0))&lt;=0,1,0)+IF(INDEX(Consultant!$D$7:$D$26,MATCH($A16,Consultant!$A$7:$A$26,0))&lt;=0,1,0)</f>
        <v>0</v>
      </c>
      <c r="D16" s="8">
        <f>COUNTIFS(Buildings!$A$7:$A$26,$A16)</f>
        <v>1</v>
      </c>
      <c r="E16" s="32">
        <f>INDEX(Energy!$I$7:$I$26,MATCH($A16,Energy!$A$7:$A$26,0))-INDEX(Energy!$G$7:$G$26,MATCH($A16,Energy!$A$7:$A$26,0))*(1-INDEX(Buildings!$I$7:$I$26,MATCH($A16,Buildings!$A$7:$A$26,0)))</f>
        <v>0</v>
      </c>
      <c r="F16" s="32">
        <f>INDEX(Energy!$P$7:$P$26,MATCH($A16,Energy!$A$7:$A$26,0))+INDEX(Energy!$N$7:$N$26,MATCH($A16,Energy!$A$7:$A$26,0))-INDEX(Buildings!$G$7:$G$26,MATCH($A16,Buildings!$A$7:$A$26,0))-INDEX(Energy!$K$7:$K$26,MATCH($A16,Energy!$A$7:$A$26,0))</f>
        <v>0</v>
      </c>
      <c r="G16" s="32">
        <f>INDEX(Energy!$M$7:$M$26,MATCH($A16,Energy!$A$7:$A$26,0))-INDEX(Energy!$N$7:$N$26,MATCH($A16,Energy!$A$7:$A$26,0))-INDEX(Energy!$O$7:$O$26,MATCH($A16,Energy!$A$7:$A$26,0))</f>
        <v>0</v>
      </c>
      <c r="H16" s="32">
        <f>INDEX(Consultant!$Q$7:$Q$26,MATCH($A16,Consultant!$A$7:$A$26,0))</f>
        <v>0</v>
      </c>
      <c r="I16" s="32">
        <f>INDEX(CAPEX!$S$7:$S$26,MATCH($A16,CAPEX!$A$7:$A$26,0))-(INDEX(CAPEX!$L$7:$L$26,MATCH($A16,CAPEX!$A$7:$A$26,0))+INDEX(CAPEX!$M$7:$M$26,MATCH($A16,CAPEX!$A$7:$A$26,0))+INDEX(CAPEX!$N$7:$N$26,MATCH($A16,CAPEX!$A$7:$A$26,0))+INDEX(CAPEX!$O$7:$O$26,MATCH($A16,CAPEX!$A$7:$A$26,0)))*(1+Assumptions!$B$19)*(1+Assumptions!$B$20)</f>
        <v>0</v>
      </c>
      <c r="J16" s="32">
        <f>INDEX(CAPEX!$G$7:$G$26,MATCH($A16,CAPEX!$A$7:$A$26,0))-INDEX(CAPEX!$D$7:$D$26,MATCH($A16,CAPEX!$A$7:$A$26,0))</f>
        <v>10.400000000000034</v>
      </c>
      <c r="K16" s="8" t="str">
        <f t="shared" si="0"/>
        <v>PASS</v>
      </c>
    </row>
    <row r="17" spans="1:11" ht="22.95" customHeight="1">
      <c r="A17" s="1" t="s">
        <v>162</v>
      </c>
      <c r="B17" s="1" t="str">
        <f>INDEX(Buildings!$B$7:$B$26,MATCH($A17,Buildings!$A$7:$A$26,0))</f>
        <v>Kingfisher Hall</v>
      </c>
      <c r="C17" s="7">
        <f>IF(COUNTIFS(Buildings!$A$7:$A$26,$A17)&lt;&gt;1,1,0)+IF(NOT(ISNUMBER(INDEX(Buildings!$E$7:$E$26,MATCH($A17,Buildings!$A$7:$A$26,0)))),1,0)+IF(NOT(ISNUMBER(INDEX(Buildings!$F$7:$F$26,MATCH($A17,Buildings!$A$7:$A$26,0)))),1,0)+IF(NOT(ISNUMBER(INDEX(Buildings!$G$7:$G$26,MATCH($A17,Buildings!$A$7:$A$26,0)))),1,0)+IF(NOT(ISNUMBER(INDEX(Buildings!$H$7:$H$26,MATCH($A17,Buildings!$A$7:$A$26,0)))),1,0)+IF(NOT(ISNUMBER(INDEX(Buildings!$I$7:$I$26,MATCH($A17,Buildings!$A$7:$A$26,0)))),1,0)+IF(NOT(ISNUMBER(INDEX(Buildings!$J$7:$J$26,MATCH($A17,Buildings!$A$7:$A$26,0)))),1,0)+IF(NOT(ISNUMBER(INDEX(Buildings!$K$7:$K$26,MATCH($A17,Buildings!$A$7:$A$26,0)))),1,0)+IF(NOT(ISNUMBER(INDEX(Buildings!$L$7:$L$26,MATCH($A17,Buildings!$A$7:$A$26,0)))),1,0)+IF(NOT(ISNUMBER(INDEX(Buildings!$M$7:$M$26,MATCH($A17,Buildings!$A$7:$A$26,0)))),1,0)+IF(NOT(ISNUMBER(INDEX(Buildings!$N$7:$N$26,MATCH($A17,Buildings!$A$7:$A$26,0)))),1,0)+IF(NOT(ISNUMBER(INDEX(Buildings!$O$7:$O$26,MATCH($A17,Buildings!$A$7:$A$26,0)))),1,0)+IF(NOT(ISNUMBER(INDEX(Buildings!$P$7:$P$26,MATCH($A17,Buildings!$A$7:$A$26,0)))),1,0)+IF(INDEX(Buildings!$E$7:$E$26,MATCH($A17,Buildings!$A$7:$A$26,0))&lt;=0,1,0)+IF(INDEX(Buildings!$F$7:$F$26,MATCH($A17,Buildings!$A$7:$A$26,0))&lt;0,1,0)+IF(INDEX(Buildings!$G$7:$G$26,MATCH($A17,Buildings!$A$7:$A$26,0))&lt;0,1,0)+IF(INDEX(Buildings!$H$7:$H$26,MATCH($A17,Buildings!$A$7:$A$26,0))&lt;=0,1,0)+IF(INDEX(Buildings!$H$7:$H$26,MATCH($A17,Buildings!$A$7:$A$26,0))&gt;1,1,0)+IF(INDEX(Buildings!$I$7:$I$26,MATCH($A17,Buildings!$A$7:$A$26,0))&lt;0,1,0)+IF(INDEX(Buildings!$I$7:$I$26,MATCH($A17,Buildings!$A$7:$A$26,0))&gt;1,1,0)+IF(INDEX(Buildings!$K$7:$K$26,MATCH($A17,Buildings!$A$7:$A$26,0))&lt;0,1,0)+IF(INDEX(Buildings!$K$7:$K$26,MATCH($A17,Buildings!$A$7:$A$26,0))&gt;1,1,0)+IF(INDEX(Buildings!$L$7:$L$26,MATCH($A17,Buildings!$A$7:$A$26,0))&lt;=0,1,0)+IF(INDEX(Buildings!$N$7:$N$26,MATCH($A17,Buildings!$A$7:$A$26,0))&lt;0,1,0)+IF(INDEX(Buildings!$N$7:$N$26,MATCH($A17,Buildings!$A$7:$A$26,0))&gt;1,1,0)+IF(INDEX(Buildings!$O$7:$O$26,MATCH($A17,Buildings!$A$7:$A$26,0))&lt;0,1,0)+IF(INDEX(Buildings!$O$7:$O$26,MATCH($A17,Buildings!$A$7:$A$26,0))&gt;INDEX(Buildings!$E$7:$E$26,MATCH($A17,Buildings!$A$7:$A$26,0)),1,0)+IF(INDEX(Buildings!$P$7:$P$26,MATCH($A17,Buildings!$A$7:$A$26,0))&lt;0,1,0)+IF(INDEX(Buildings!$M$7:$M$26,MATCH($A17,Buildings!$A$7:$A$26,0))&lt;0,1,0)+IF(INDEX(Buildings!$J$7:$J$26,MATCH($A17,Buildings!$A$7:$A$26,0))&lt;=0,1,0)+IF(COUNTIFS(Assumptions!$B$7:$B$18,"&lt;=0")&gt;0,1,0)+IF(COUNT(Assumptions!$B$7:$B$23)&lt;&gt;17,1,0)+IF(INDEX(Consultant!$C$7:$C$26,MATCH($A17,Consultant!$A$7:$A$26,0))&lt;=0,1,0)+IF(INDEX(Consultant!$D$7:$D$26,MATCH($A17,Consultant!$A$7:$A$26,0))&lt;=0,1,0)</f>
        <v>0</v>
      </c>
      <c r="D17" s="7">
        <f>COUNTIFS(Buildings!$A$7:$A$26,$A17)</f>
        <v>1</v>
      </c>
      <c r="E17" s="31">
        <f>INDEX(Energy!$I$7:$I$26,MATCH($A17,Energy!$A$7:$A$26,0))-INDEX(Energy!$G$7:$G$26,MATCH($A17,Energy!$A$7:$A$26,0))*(1-INDEX(Buildings!$I$7:$I$26,MATCH($A17,Buildings!$A$7:$A$26,0)))</f>
        <v>0</v>
      </c>
      <c r="F17" s="31">
        <f>INDEX(Energy!$P$7:$P$26,MATCH($A17,Energy!$A$7:$A$26,0))+INDEX(Energy!$N$7:$N$26,MATCH($A17,Energy!$A$7:$A$26,0))-INDEX(Buildings!$G$7:$G$26,MATCH($A17,Buildings!$A$7:$A$26,0))-INDEX(Energy!$K$7:$K$26,MATCH($A17,Energy!$A$7:$A$26,0))</f>
        <v>0</v>
      </c>
      <c r="G17" s="31">
        <f>INDEX(Energy!$M$7:$M$26,MATCH($A17,Energy!$A$7:$A$26,0))-INDEX(Energy!$N$7:$N$26,MATCH($A17,Energy!$A$7:$A$26,0))-INDEX(Energy!$O$7:$O$26,MATCH($A17,Energy!$A$7:$A$26,0))</f>
        <v>0</v>
      </c>
      <c r="H17" s="31">
        <f>INDEX(Consultant!$Q$7:$Q$26,MATCH($A17,Consultant!$A$7:$A$26,0))</f>
        <v>0</v>
      </c>
      <c r="I17" s="31">
        <f>INDEX(CAPEX!$S$7:$S$26,MATCH($A17,CAPEX!$A$7:$A$26,0))-(INDEX(CAPEX!$L$7:$L$26,MATCH($A17,CAPEX!$A$7:$A$26,0))+INDEX(CAPEX!$M$7:$M$26,MATCH($A17,CAPEX!$A$7:$A$26,0))+INDEX(CAPEX!$N$7:$N$26,MATCH($A17,CAPEX!$A$7:$A$26,0))+INDEX(CAPEX!$O$7:$O$26,MATCH($A17,CAPEX!$A$7:$A$26,0)))*(1+Assumptions!$B$19)*(1+Assumptions!$B$20)</f>
        <v>0</v>
      </c>
      <c r="J17" s="31">
        <f>INDEX(CAPEX!$G$7:$G$26,MATCH($A17,CAPEX!$A$7:$A$26,0))-INDEX(CAPEX!$D$7:$D$26,MATCH($A17,CAPEX!$A$7:$A$26,0))</f>
        <v>50.950000000000017</v>
      </c>
      <c r="K17" s="7" t="str">
        <f t="shared" si="0"/>
        <v>PASS</v>
      </c>
    </row>
    <row r="18" spans="1:11" ht="22.95" customHeight="1">
      <c r="A18" s="6" t="s">
        <v>163</v>
      </c>
      <c r="B18" s="6" t="str">
        <f>INDEX(Buildings!$B$7:$B$26,MATCH($A18,Buildings!$A$7:$A$26,0))</f>
        <v>Larch Medical Sciences</v>
      </c>
      <c r="C18" s="8">
        <f>IF(COUNTIFS(Buildings!$A$7:$A$26,$A18)&lt;&gt;1,1,0)+IF(NOT(ISNUMBER(INDEX(Buildings!$E$7:$E$26,MATCH($A18,Buildings!$A$7:$A$26,0)))),1,0)+IF(NOT(ISNUMBER(INDEX(Buildings!$F$7:$F$26,MATCH($A18,Buildings!$A$7:$A$26,0)))),1,0)+IF(NOT(ISNUMBER(INDEX(Buildings!$G$7:$G$26,MATCH($A18,Buildings!$A$7:$A$26,0)))),1,0)+IF(NOT(ISNUMBER(INDEX(Buildings!$H$7:$H$26,MATCH($A18,Buildings!$A$7:$A$26,0)))),1,0)+IF(NOT(ISNUMBER(INDEX(Buildings!$I$7:$I$26,MATCH($A18,Buildings!$A$7:$A$26,0)))),1,0)+IF(NOT(ISNUMBER(INDEX(Buildings!$J$7:$J$26,MATCH($A18,Buildings!$A$7:$A$26,0)))),1,0)+IF(NOT(ISNUMBER(INDEX(Buildings!$K$7:$K$26,MATCH($A18,Buildings!$A$7:$A$26,0)))),1,0)+IF(NOT(ISNUMBER(INDEX(Buildings!$L$7:$L$26,MATCH($A18,Buildings!$A$7:$A$26,0)))),1,0)+IF(NOT(ISNUMBER(INDEX(Buildings!$M$7:$M$26,MATCH($A18,Buildings!$A$7:$A$26,0)))),1,0)+IF(NOT(ISNUMBER(INDEX(Buildings!$N$7:$N$26,MATCH($A18,Buildings!$A$7:$A$26,0)))),1,0)+IF(NOT(ISNUMBER(INDEX(Buildings!$O$7:$O$26,MATCH($A18,Buildings!$A$7:$A$26,0)))),1,0)+IF(NOT(ISNUMBER(INDEX(Buildings!$P$7:$P$26,MATCH($A18,Buildings!$A$7:$A$26,0)))),1,0)+IF(INDEX(Buildings!$E$7:$E$26,MATCH($A18,Buildings!$A$7:$A$26,0))&lt;=0,1,0)+IF(INDEX(Buildings!$F$7:$F$26,MATCH($A18,Buildings!$A$7:$A$26,0))&lt;0,1,0)+IF(INDEX(Buildings!$G$7:$G$26,MATCH($A18,Buildings!$A$7:$A$26,0))&lt;0,1,0)+IF(INDEX(Buildings!$H$7:$H$26,MATCH($A18,Buildings!$A$7:$A$26,0))&lt;=0,1,0)+IF(INDEX(Buildings!$H$7:$H$26,MATCH($A18,Buildings!$A$7:$A$26,0))&gt;1,1,0)+IF(INDEX(Buildings!$I$7:$I$26,MATCH($A18,Buildings!$A$7:$A$26,0))&lt;0,1,0)+IF(INDEX(Buildings!$I$7:$I$26,MATCH($A18,Buildings!$A$7:$A$26,0))&gt;1,1,0)+IF(INDEX(Buildings!$K$7:$K$26,MATCH($A18,Buildings!$A$7:$A$26,0))&lt;0,1,0)+IF(INDEX(Buildings!$K$7:$K$26,MATCH($A18,Buildings!$A$7:$A$26,0))&gt;1,1,0)+IF(INDEX(Buildings!$L$7:$L$26,MATCH($A18,Buildings!$A$7:$A$26,0))&lt;=0,1,0)+IF(INDEX(Buildings!$N$7:$N$26,MATCH($A18,Buildings!$A$7:$A$26,0))&lt;0,1,0)+IF(INDEX(Buildings!$N$7:$N$26,MATCH($A18,Buildings!$A$7:$A$26,0))&gt;1,1,0)+IF(INDEX(Buildings!$O$7:$O$26,MATCH($A18,Buildings!$A$7:$A$26,0))&lt;0,1,0)+IF(INDEX(Buildings!$O$7:$O$26,MATCH($A18,Buildings!$A$7:$A$26,0))&gt;INDEX(Buildings!$E$7:$E$26,MATCH($A18,Buildings!$A$7:$A$26,0)),1,0)+IF(INDEX(Buildings!$P$7:$P$26,MATCH($A18,Buildings!$A$7:$A$26,0))&lt;0,1,0)+IF(INDEX(Buildings!$M$7:$M$26,MATCH($A18,Buildings!$A$7:$A$26,0))&lt;0,1,0)+IF(INDEX(Buildings!$J$7:$J$26,MATCH($A18,Buildings!$A$7:$A$26,0))&lt;=0,1,0)+IF(COUNTIFS(Assumptions!$B$7:$B$18,"&lt;=0")&gt;0,1,0)+IF(COUNT(Assumptions!$B$7:$B$23)&lt;&gt;17,1,0)+IF(INDEX(Consultant!$C$7:$C$26,MATCH($A18,Consultant!$A$7:$A$26,0))&lt;=0,1,0)+IF(INDEX(Consultant!$D$7:$D$26,MATCH($A18,Consultant!$A$7:$A$26,0))&lt;=0,1,0)</f>
        <v>0</v>
      </c>
      <c r="D18" s="8">
        <f>COUNTIFS(Buildings!$A$7:$A$26,$A18)</f>
        <v>1</v>
      </c>
      <c r="E18" s="32">
        <f>INDEX(Energy!$I$7:$I$26,MATCH($A18,Energy!$A$7:$A$26,0))-INDEX(Energy!$G$7:$G$26,MATCH($A18,Energy!$A$7:$A$26,0))*(1-INDEX(Buildings!$I$7:$I$26,MATCH($A18,Buildings!$A$7:$A$26,0)))</f>
        <v>0</v>
      </c>
      <c r="F18" s="32">
        <f>INDEX(Energy!$P$7:$P$26,MATCH($A18,Energy!$A$7:$A$26,0))+INDEX(Energy!$N$7:$N$26,MATCH($A18,Energy!$A$7:$A$26,0))-INDEX(Buildings!$G$7:$G$26,MATCH($A18,Buildings!$A$7:$A$26,0))-INDEX(Energy!$K$7:$K$26,MATCH($A18,Energy!$A$7:$A$26,0))</f>
        <v>0</v>
      </c>
      <c r="G18" s="32">
        <f>INDEX(Energy!$M$7:$M$26,MATCH($A18,Energy!$A$7:$A$26,0))-INDEX(Energy!$N$7:$N$26,MATCH($A18,Energy!$A$7:$A$26,0))-INDEX(Energy!$O$7:$O$26,MATCH($A18,Energy!$A$7:$A$26,0))</f>
        <v>0</v>
      </c>
      <c r="H18" s="32">
        <f>INDEX(Consultant!$Q$7:$Q$26,MATCH($A18,Consultant!$A$7:$A$26,0))</f>
        <v>0</v>
      </c>
      <c r="I18" s="32">
        <f>INDEX(CAPEX!$S$7:$S$26,MATCH($A18,CAPEX!$A$7:$A$26,0))-(INDEX(CAPEX!$L$7:$L$26,MATCH($A18,CAPEX!$A$7:$A$26,0))+INDEX(CAPEX!$M$7:$M$26,MATCH($A18,CAPEX!$A$7:$A$26,0))+INDEX(CAPEX!$N$7:$N$26,MATCH($A18,CAPEX!$A$7:$A$26,0))+INDEX(CAPEX!$O$7:$O$26,MATCH($A18,CAPEX!$A$7:$A$26,0)))*(1+Assumptions!$B$19)*(1+Assumptions!$B$20)</f>
        <v>0</v>
      </c>
      <c r="J18" s="32">
        <f>INDEX(CAPEX!$G$7:$G$26,MATCH($A18,CAPEX!$A$7:$A$26,0))-INDEX(CAPEX!$D$7:$D$26,MATCH($A18,CAPEX!$A$7:$A$26,0))</f>
        <v>24</v>
      </c>
      <c r="K18" s="8" t="str">
        <f t="shared" si="0"/>
        <v>PASS</v>
      </c>
    </row>
    <row r="19" spans="1:11" ht="22.95" customHeight="1">
      <c r="A19" s="1" t="s">
        <v>164</v>
      </c>
      <c r="B19" s="1" t="str">
        <f>INDEX(Buildings!$B$7:$B$26,MATCH($A19,Buildings!$A$7:$A$26,0))</f>
        <v>Maple Arts Studio</v>
      </c>
      <c r="C19" s="7">
        <f>IF(COUNTIFS(Buildings!$A$7:$A$26,$A19)&lt;&gt;1,1,0)+IF(NOT(ISNUMBER(INDEX(Buildings!$E$7:$E$26,MATCH($A19,Buildings!$A$7:$A$26,0)))),1,0)+IF(NOT(ISNUMBER(INDEX(Buildings!$F$7:$F$26,MATCH($A19,Buildings!$A$7:$A$26,0)))),1,0)+IF(NOT(ISNUMBER(INDEX(Buildings!$G$7:$G$26,MATCH($A19,Buildings!$A$7:$A$26,0)))),1,0)+IF(NOT(ISNUMBER(INDEX(Buildings!$H$7:$H$26,MATCH($A19,Buildings!$A$7:$A$26,0)))),1,0)+IF(NOT(ISNUMBER(INDEX(Buildings!$I$7:$I$26,MATCH($A19,Buildings!$A$7:$A$26,0)))),1,0)+IF(NOT(ISNUMBER(INDEX(Buildings!$J$7:$J$26,MATCH($A19,Buildings!$A$7:$A$26,0)))),1,0)+IF(NOT(ISNUMBER(INDEX(Buildings!$K$7:$K$26,MATCH($A19,Buildings!$A$7:$A$26,0)))),1,0)+IF(NOT(ISNUMBER(INDEX(Buildings!$L$7:$L$26,MATCH($A19,Buildings!$A$7:$A$26,0)))),1,0)+IF(NOT(ISNUMBER(INDEX(Buildings!$M$7:$M$26,MATCH($A19,Buildings!$A$7:$A$26,0)))),1,0)+IF(NOT(ISNUMBER(INDEX(Buildings!$N$7:$N$26,MATCH($A19,Buildings!$A$7:$A$26,0)))),1,0)+IF(NOT(ISNUMBER(INDEX(Buildings!$O$7:$O$26,MATCH($A19,Buildings!$A$7:$A$26,0)))),1,0)+IF(NOT(ISNUMBER(INDEX(Buildings!$P$7:$P$26,MATCH($A19,Buildings!$A$7:$A$26,0)))),1,0)+IF(INDEX(Buildings!$E$7:$E$26,MATCH($A19,Buildings!$A$7:$A$26,0))&lt;=0,1,0)+IF(INDEX(Buildings!$F$7:$F$26,MATCH($A19,Buildings!$A$7:$A$26,0))&lt;0,1,0)+IF(INDEX(Buildings!$G$7:$G$26,MATCH($A19,Buildings!$A$7:$A$26,0))&lt;0,1,0)+IF(INDEX(Buildings!$H$7:$H$26,MATCH($A19,Buildings!$A$7:$A$26,0))&lt;=0,1,0)+IF(INDEX(Buildings!$H$7:$H$26,MATCH($A19,Buildings!$A$7:$A$26,0))&gt;1,1,0)+IF(INDEX(Buildings!$I$7:$I$26,MATCH($A19,Buildings!$A$7:$A$26,0))&lt;0,1,0)+IF(INDEX(Buildings!$I$7:$I$26,MATCH($A19,Buildings!$A$7:$A$26,0))&gt;1,1,0)+IF(INDEX(Buildings!$K$7:$K$26,MATCH($A19,Buildings!$A$7:$A$26,0))&lt;0,1,0)+IF(INDEX(Buildings!$K$7:$K$26,MATCH($A19,Buildings!$A$7:$A$26,0))&gt;1,1,0)+IF(INDEX(Buildings!$L$7:$L$26,MATCH($A19,Buildings!$A$7:$A$26,0))&lt;=0,1,0)+IF(INDEX(Buildings!$N$7:$N$26,MATCH($A19,Buildings!$A$7:$A$26,0))&lt;0,1,0)+IF(INDEX(Buildings!$N$7:$N$26,MATCH($A19,Buildings!$A$7:$A$26,0))&gt;1,1,0)+IF(INDEX(Buildings!$O$7:$O$26,MATCH($A19,Buildings!$A$7:$A$26,0))&lt;0,1,0)+IF(INDEX(Buildings!$O$7:$O$26,MATCH($A19,Buildings!$A$7:$A$26,0))&gt;INDEX(Buildings!$E$7:$E$26,MATCH($A19,Buildings!$A$7:$A$26,0)),1,0)+IF(INDEX(Buildings!$P$7:$P$26,MATCH($A19,Buildings!$A$7:$A$26,0))&lt;0,1,0)+IF(INDEX(Buildings!$M$7:$M$26,MATCH($A19,Buildings!$A$7:$A$26,0))&lt;0,1,0)+IF(INDEX(Buildings!$J$7:$J$26,MATCH($A19,Buildings!$A$7:$A$26,0))&lt;=0,1,0)+IF(COUNTIFS(Assumptions!$B$7:$B$18,"&lt;=0")&gt;0,1,0)+IF(COUNT(Assumptions!$B$7:$B$23)&lt;&gt;17,1,0)+IF(INDEX(Consultant!$C$7:$C$26,MATCH($A19,Consultant!$A$7:$A$26,0))&lt;=0,1,0)+IF(INDEX(Consultant!$D$7:$D$26,MATCH($A19,Consultant!$A$7:$A$26,0))&lt;=0,1,0)</f>
        <v>0</v>
      </c>
      <c r="D19" s="7">
        <f>COUNTIFS(Buildings!$A$7:$A$26,$A19)</f>
        <v>1</v>
      </c>
      <c r="E19" s="31">
        <f>INDEX(Energy!$I$7:$I$26,MATCH($A19,Energy!$A$7:$A$26,0))-INDEX(Energy!$G$7:$G$26,MATCH($A19,Energy!$A$7:$A$26,0))*(1-INDEX(Buildings!$I$7:$I$26,MATCH($A19,Buildings!$A$7:$A$26,0)))</f>
        <v>0</v>
      </c>
      <c r="F19" s="31">
        <f>INDEX(Energy!$P$7:$P$26,MATCH($A19,Energy!$A$7:$A$26,0))+INDEX(Energy!$N$7:$N$26,MATCH($A19,Energy!$A$7:$A$26,0))-INDEX(Buildings!$G$7:$G$26,MATCH($A19,Buildings!$A$7:$A$26,0))-INDEX(Energy!$K$7:$K$26,MATCH($A19,Energy!$A$7:$A$26,0))</f>
        <v>0</v>
      </c>
      <c r="G19" s="31">
        <f>INDEX(Energy!$M$7:$M$26,MATCH($A19,Energy!$A$7:$A$26,0))-INDEX(Energy!$N$7:$N$26,MATCH($A19,Energy!$A$7:$A$26,0))-INDEX(Energy!$O$7:$O$26,MATCH($A19,Energy!$A$7:$A$26,0))</f>
        <v>0</v>
      </c>
      <c r="H19" s="31">
        <f>INDEX(Consultant!$Q$7:$Q$26,MATCH($A19,Consultant!$A$7:$A$26,0))</f>
        <v>0</v>
      </c>
      <c r="I19" s="31">
        <f>INDEX(CAPEX!$S$7:$S$26,MATCH($A19,CAPEX!$A$7:$A$26,0))-(INDEX(CAPEX!$L$7:$L$26,MATCH($A19,CAPEX!$A$7:$A$26,0))+INDEX(CAPEX!$M$7:$M$26,MATCH($A19,CAPEX!$A$7:$A$26,0))+INDEX(CAPEX!$N$7:$N$26,MATCH($A19,CAPEX!$A$7:$A$26,0))+INDEX(CAPEX!$O$7:$O$26,MATCH($A19,CAPEX!$A$7:$A$26,0)))*(1+Assumptions!$B$19)*(1+Assumptions!$B$20)</f>
        <v>0</v>
      </c>
      <c r="J19" s="31">
        <f>INDEX(CAPEX!$G$7:$G$26,MATCH($A19,CAPEX!$A$7:$A$26,0))-INDEX(CAPEX!$D$7:$D$26,MATCH($A19,CAPEX!$A$7:$A$26,0))</f>
        <v>32.699999999999989</v>
      </c>
      <c r="K19" s="7" t="str">
        <f t="shared" si="0"/>
        <v>PASS</v>
      </c>
    </row>
    <row r="20" spans="1:11" ht="22.95" customHeight="1">
      <c r="A20" s="6" t="s">
        <v>165</v>
      </c>
      <c r="B20" s="6" t="str">
        <f>INDEX(Buildings!$B$7:$B$26,MATCH($A20,Buildings!$A$7:$A$26,0))</f>
        <v>Newton Lecture Block</v>
      </c>
      <c r="C20" s="8">
        <f>IF(COUNTIFS(Buildings!$A$7:$A$26,$A20)&lt;&gt;1,1,0)+IF(NOT(ISNUMBER(INDEX(Buildings!$E$7:$E$26,MATCH($A20,Buildings!$A$7:$A$26,0)))),1,0)+IF(NOT(ISNUMBER(INDEX(Buildings!$F$7:$F$26,MATCH($A20,Buildings!$A$7:$A$26,0)))),1,0)+IF(NOT(ISNUMBER(INDEX(Buildings!$G$7:$G$26,MATCH($A20,Buildings!$A$7:$A$26,0)))),1,0)+IF(NOT(ISNUMBER(INDEX(Buildings!$H$7:$H$26,MATCH($A20,Buildings!$A$7:$A$26,0)))),1,0)+IF(NOT(ISNUMBER(INDEX(Buildings!$I$7:$I$26,MATCH($A20,Buildings!$A$7:$A$26,0)))),1,0)+IF(NOT(ISNUMBER(INDEX(Buildings!$J$7:$J$26,MATCH($A20,Buildings!$A$7:$A$26,0)))),1,0)+IF(NOT(ISNUMBER(INDEX(Buildings!$K$7:$K$26,MATCH($A20,Buildings!$A$7:$A$26,0)))),1,0)+IF(NOT(ISNUMBER(INDEX(Buildings!$L$7:$L$26,MATCH($A20,Buildings!$A$7:$A$26,0)))),1,0)+IF(NOT(ISNUMBER(INDEX(Buildings!$M$7:$M$26,MATCH($A20,Buildings!$A$7:$A$26,0)))),1,0)+IF(NOT(ISNUMBER(INDEX(Buildings!$N$7:$N$26,MATCH($A20,Buildings!$A$7:$A$26,0)))),1,0)+IF(NOT(ISNUMBER(INDEX(Buildings!$O$7:$O$26,MATCH($A20,Buildings!$A$7:$A$26,0)))),1,0)+IF(NOT(ISNUMBER(INDEX(Buildings!$P$7:$P$26,MATCH($A20,Buildings!$A$7:$A$26,0)))),1,0)+IF(INDEX(Buildings!$E$7:$E$26,MATCH($A20,Buildings!$A$7:$A$26,0))&lt;=0,1,0)+IF(INDEX(Buildings!$F$7:$F$26,MATCH($A20,Buildings!$A$7:$A$26,0))&lt;0,1,0)+IF(INDEX(Buildings!$G$7:$G$26,MATCH($A20,Buildings!$A$7:$A$26,0))&lt;0,1,0)+IF(INDEX(Buildings!$H$7:$H$26,MATCH($A20,Buildings!$A$7:$A$26,0))&lt;=0,1,0)+IF(INDEX(Buildings!$H$7:$H$26,MATCH($A20,Buildings!$A$7:$A$26,0))&gt;1,1,0)+IF(INDEX(Buildings!$I$7:$I$26,MATCH($A20,Buildings!$A$7:$A$26,0))&lt;0,1,0)+IF(INDEX(Buildings!$I$7:$I$26,MATCH($A20,Buildings!$A$7:$A$26,0))&gt;1,1,0)+IF(INDEX(Buildings!$K$7:$K$26,MATCH($A20,Buildings!$A$7:$A$26,0))&lt;0,1,0)+IF(INDEX(Buildings!$K$7:$K$26,MATCH($A20,Buildings!$A$7:$A$26,0))&gt;1,1,0)+IF(INDEX(Buildings!$L$7:$L$26,MATCH($A20,Buildings!$A$7:$A$26,0))&lt;=0,1,0)+IF(INDEX(Buildings!$N$7:$N$26,MATCH($A20,Buildings!$A$7:$A$26,0))&lt;0,1,0)+IF(INDEX(Buildings!$N$7:$N$26,MATCH($A20,Buildings!$A$7:$A$26,0))&gt;1,1,0)+IF(INDEX(Buildings!$O$7:$O$26,MATCH($A20,Buildings!$A$7:$A$26,0))&lt;0,1,0)+IF(INDEX(Buildings!$O$7:$O$26,MATCH($A20,Buildings!$A$7:$A$26,0))&gt;INDEX(Buildings!$E$7:$E$26,MATCH($A20,Buildings!$A$7:$A$26,0)),1,0)+IF(INDEX(Buildings!$P$7:$P$26,MATCH($A20,Buildings!$A$7:$A$26,0))&lt;0,1,0)+IF(INDEX(Buildings!$M$7:$M$26,MATCH($A20,Buildings!$A$7:$A$26,0))&lt;0,1,0)+IF(INDEX(Buildings!$J$7:$J$26,MATCH($A20,Buildings!$A$7:$A$26,0))&lt;=0,1,0)+IF(COUNTIFS(Assumptions!$B$7:$B$18,"&lt;=0")&gt;0,1,0)+IF(COUNT(Assumptions!$B$7:$B$23)&lt;&gt;17,1,0)+IF(INDEX(Consultant!$C$7:$C$26,MATCH($A20,Consultant!$A$7:$A$26,0))&lt;=0,1,0)+IF(INDEX(Consultant!$D$7:$D$26,MATCH($A20,Consultant!$A$7:$A$26,0))&lt;=0,1,0)</f>
        <v>0</v>
      </c>
      <c r="D20" s="8">
        <f>COUNTIFS(Buildings!$A$7:$A$26,$A20)</f>
        <v>1</v>
      </c>
      <c r="E20" s="32">
        <f>INDEX(Energy!$I$7:$I$26,MATCH($A20,Energy!$A$7:$A$26,0))-INDEX(Energy!$G$7:$G$26,MATCH($A20,Energy!$A$7:$A$26,0))*(1-INDEX(Buildings!$I$7:$I$26,MATCH($A20,Buildings!$A$7:$A$26,0)))</f>
        <v>0</v>
      </c>
      <c r="F20" s="32">
        <f>INDEX(Energy!$P$7:$P$26,MATCH($A20,Energy!$A$7:$A$26,0))+INDEX(Energy!$N$7:$N$26,MATCH($A20,Energy!$A$7:$A$26,0))-INDEX(Buildings!$G$7:$G$26,MATCH($A20,Buildings!$A$7:$A$26,0))-INDEX(Energy!$K$7:$K$26,MATCH($A20,Energy!$A$7:$A$26,0))</f>
        <v>0</v>
      </c>
      <c r="G20" s="32">
        <f>INDEX(Energy!$M$7:$M$26,MATCH($A20,Energy!$A$7:$A$26,0))-INDEX(Energy!$N$7:$N$26,MATCH($A20,Energy!$A$7:$A$26,0))-INDEX(Energy!$O$7:$O$26,MATCH($A20,Energy!$A$7:$A$26,0))</f>
        <v>0</v>
      </c>
      <c r="H20" s="32">
        <f>INDEX(Consultant!$Q$7:$Q$26,MATCH($A20,Consultant!$A$7:$A$26,0))</f>
        <v>0</v>
      </c>
      <c r="I20" s="32">
        <f>INDEX(CAPEX!$S$7:$S$26,MATCH($A20,CAPEX!$A$7:$A$26,0))-(INDEX(CAPEX!$L$7:$L$26,MATCH($A20,CAPEX!$A$7:$A$26,0))+INDEX(CAPEX!$M$7:$M$26,MATCH($A20,CAPEX!$A$7:$A$26,0))+INDEX(CAPEX!$N$7:$N$26,MATCH($A20,CAPEX!$A$7:$A$26,0))+INDEX(CAPEX!$O$7:$O$26,MATCH($A20,CAPEX!$A$7:$A$26,0)))*(1+Assumptions!$B$19)*(1+Assumptions!$B$20)</f>
        <v>0</v>
      </c>
      <c r="J20" s="32">
        <f>INDEX(CAPEX!$G$7:$G$26,MATCH($A20,CAPEX!$A$7:$A$26,0))-INDEX(CAPEX!$D$7:$D$26,MATCH($A20,CAPEX!$A$7:$A$26,0))</f>
        <v>66.78</v>
      </c>
      <c r="K20" s="8" t="str">
        <f t="shared" si="0"/>
        <v>PASS</v>
      </c>
    </row>
    <row r="21" spans="1:11" ht="22.95" customHeight="1">
      <c r="A21" s="1" t="s">
        <v>166</v>
      </c>
      <c r="B21" s="1" t="str">
        <f>INDEX(Buildings!$B$7:$B$26,MATCH($A21,Buildings!$A$7:$A$26,0))</f>
        <v>Oak Student Centre</v>
      </c>
      <c r="C21" s="7">
        <f>IF(COUNTIFS(Buildings!$A$7:$A$26,$A21)&lt;&gt;1,1,0)+IF(NOT(ISNUMBER(INDEX(Buildings!$E$7:$E$26,MATCH($A21,Buildings!$A$7:$A$26,0)))),1,0)+IF(NOT(ISNUMBER(INDEX(Buildings!$F$7:$F$26,MATCH($A21,Buildings!$A$7:$A$26,0)))),1,0)+IF(NOT(ISNUMBER(INDEX(Buildings!$G$7:$G$26,MATCH($A21,Buildings!$A$7:$A$26,0)))),1,0)+IF(NOT(ISNUMBER(INDEX(Buildings!$H$7:$H$26,MATCH($A21,Buildings!$A$7:$A$26,0)))),1,0)+IF(NOT(ISNUMBER(INDEX(Buildings!$I$7:$I$26,MATCH($A21,Buildings!$A$7:$A$26,0)))),1,0)+IF(NOT(ISNUMBER(INDEX(Buildings!$J$7:$J$26,MATCH($A21,Buildings!$A$7:$A$26,0)))),1,0)+IF(NOT(ISNUMBER(INDEX(Buildings!$K$7:$K$26,MATCH($A21,Buildings!$A$7:$A$26,0)))),1,0)+IF(NOT(ISNUMBER(INDEX(Buildings!$L$7:$L$26,MATCH($A21,Buildings!$A$7:$A$26,0)))),1,0)+IF(NOT(ISNUMBER(INDEX(Buildings!$M$7:$M$26,MATCH($A21,Buildings!$A$7:$A$26,0)))),1,0)+IF(NOT(ISNUMBER(INDEX(Buildings!$N$7:$N$26,MATCH($A21,Buildings!$A$7:$A$26,0)))),1,0)+IF(NOT(ISNUMBER(INDEX(Buildings!$O$7:$O$26,MATCH($A21,Buildings!$A$7:$A$26,0)))),1,0)+IF(NOT(ISNUMBER(INDEX(Buildings!$P$7:$P$26,MATCH($A21,Buildings!$A$7:$A$26,0)))),1,0)+IF(INDEX(Buildings!$E$7:$E$26,MATCH($A21,Buildings!$A$7:$A$26,0))&lt;=0,1,0)+IF(INDEX(Buildings!$F$7:$F$26,MATCH($A21,Buildings!$A$7:$A$26,0))&lt;0,1,0)+IF(INDEX(Buildings!$G$7:$G$26,MATCH($A21,Buildings!$A$7:$A$26,0))&lt;0,1,0)+IF(INDEX(Buildings!$H$7:$H$26,MATCH($A21,Buildings!$A$7:$A$26,0))&lt;=0,1,0)+IF(INDEX(Buildings!$H$7:$H$26,MATCH($A21,Buildings!$A$7:$A$26,0))&gt;1,1,0)+IF(INDEX(Buildings!$I$7:$I$26,MATCH($A21,Buildings!$A$7:$A$26,0))&lt;0,1,0)+IF(INDEX(Buildings!$I$7:$I$26,MATCH($A21,Buildings!$A$7:$A$26,0))&gt;1,1,0)+IF(INDEX(Buildings!$K$7:$K$26,MATCH($A21,Buildings!$A$7:$A$26,0))&lt;0,1,0)+IF(INDEX(Buildings!$K$7:$K$26,MATCH($A21,Buildings!$A$7:$A$26,0))&gt;1,1,0)+IF(INDEX(Buildings!$L$7:$L$26,MATCH($A21,Buildings!$A$7:$A$26,0))&lt;=0,1,0)+IF(INDEX(Buildings!$N$7:$N$26,MATCH($A21,Buildings!$A$7:$A$26,0))&lt;0,1,0)+IF(INDEX(Buildings!$N$7:$N$26,MATCH($A21,Buildings!$A$7:$A$26,0))&gt;1,1,0)+IF(INDEX(Buildings!$O$7:$O$26,MATCH($A21,Buildings!$A$7:$A$26,0))&lt;0,1,0)+IF(INDEX(Buildings!$O$7:$O$26,MATCH($A21,Buildings!$A$7:$A$26,0))&gt;INDEX(Buildings!$E$7:$E$26,MATCH($A21,Buildings!$A$7:$A$26,0)),1,0)+IF(INDEX(Buildings!$P$7:$P$26,MATCH($A21,Buildings!$A$7:$A$26,0))&lt;0,1,0)+IF(INDEX(Buildings!$M$7:$M$26,MATCH($A21,Buildings!$A$7:$A$26,0))&lt;0,1,0)+IF(INDEX(Buildings!$J$7:$J$26,MATCH($A21,Buildings!$A$7:$A$26,0))&lt;=0,1,0)+IF(COUNTIFS(Assumptions!$B$7:$B$18,"&lt;=0")&gt;0,1,0)+IF(COUNT(Assumptions!$B$7:$B$23)&lt;&gt;17,1,0)+IF(INDEX(Consultant!$C$7:$C$26,MATCH($A21,Consultant!$A$7:$A$26,0))&lt;=0,1,0)+IF(INDEX(Consultant!$D$7:$D$26,MATCH($A21,Consultant!$A$7:$A$26,0))&lt;=0,1,0)</f>
        <v>0</v>
      </c>
      <c r="D21" s="7">
        <f>COUNTIFS(Buildings!$A$7:$A$26,$A21)</f>
        <v>1</v>
      </c>
      <c r="E21" s="31">
        <f>INDEX(Energy!$I$7:$I$26,MATCH($A21,Energy!$A$7:$A$26,0))-INDEX(Energy!$G$7:$G$26,MATCH($A21,Energy!$A$7:$A$26,0))*(1-INDEX(Buildings!$I$7:$I$26,MATCH($A21,Buildings!$A$7:$A$26,0)))</f>
        <v>0</v>
      </c>
      <c r="F21" s="31">
        <f>INDEX(Energy!$P$7:$P$26,MATCH($A21,Energy!$A$7:$A$26,0))+INDEX(Energy!$N$7:$N$26,MATCH($A21,Energy!$A$7:$A$26,0))-INDEX(Buildings!$G$7:$G$26,MATCH($A21,Buildings!$A$7:$A$26,0))-INDEX(Energy!$K$7:$K$26,MATCH($A21,Energy!$A$7:$A$26,0))</f>
        <v>0</v>
      </c>
      <c r="G21" s="31">
        <f>INDEX(Energy!$M$7:$M$26,MATCH($A21,Energy!$A$7:$A$26,0))-INDEX(Energy!$N$7:$N$26,MATCH($A21,Energy!$A$7:$A$26,0))-INDEX(Energy!$O$7:$O$26,MATCH($A21,Energy!$A$7:$A$26,0))</f>
        <v>0</v>
      </c>
      <c r="H21" s="31">
        <f>INDEX(Consultant!$Q$7:$Q$26,MATCH($A21,Consultant!$A$7:$A$26,0))</f>
        <v>0</v>
      </c>
      <c r="I21" s="31">
        <f>INDEX(CAPEX!$S$7:$S$26,MATCH($A21,CAPEX!$A$7:$A$26,0))-(INDEX(CAPEX!$L$7:$L$26,MATCH($A21,CAPEX!$A$7:$A$26,0))+INDEX(CAPEX!$M$7:$M$26,MATCH($A21,CAPEX!$A$7:$A$26,0))+INDEX(CAPEX!$N$7:$N$26,MATCH($A21,CAPEX!$A$7:$A$26,0))+INDEX(CAPEX!$O$7:$O$26,MATCH($A21,CAPEX!$A$7:$A$26,0)))*(1+Assumptions!$B$19)*(1+Assumptions!$B$20)</f>
        <v>0</v>
      </c>
      <c r="J21" s="31">
        <f>INDEX(CAPEX!$G$7:$G$26,MATCH($A21,CAPEX!$A$7:$A$26,0))-INDEX(CAPEX!$D$7:$D$26,MATCH($A21,CAPEX!$A$7:$A$26,0))</f>
        <v>21.199999999999989</v>
      </c>
      <c r="K21" s="7" t="str">
        <f t="shared" si="0"/>
        <v>PASS</v>
      </c>
    </row>
    <row r="22" spans="1:11" ht="22.95" customHeight="1">
      <c r="A22" s="6" t="s">
        <v>167</v>
      </c>
      <c r="B22" s="6" t="str">
        <f>INDEX(Buildings!$B$7:$B$26,MATCH($A22,Buildings!$A$7:$A$26,0))</f>
        <v>Pine Archives</v>
      </c>
      <c r="C22" s="8">
        <f>IF(COUNTIFS(Buildings!$A$7:$A$26,$A22)&lt;&gt;1,1,0)+IF(NOT(ISNUMBER(INDEX(Buildings!$E$7:$E$26,MATCH($A22,Buildings!$A$7:$A$26,0)))),1,0)+IF(NOT(ISNUMBER(INDEX(Buildings!$F$7:$F$26,MATCH($A22,Buildings!$A$7:$A$26,0)))),1,0)+IF(NOT(ISNUMBER(INDEX(Buildings!$G$7:$G$26,MATCH($A22,Buildings!$A$7:$A$26,0)))),1,0)+IF(NOT(ISNUMBER(INDEX(Buildings!$H$7:$H$26,MATCH($A22,Buildings!$A$7:$A$26,0)))),1,0)+IF(NOT(ISNUMBER(INDEX(Buildings!$I$7:$I$26,MATCH($A22,Buildings!$A$7:$A$26,0)))),1,0)+IF(NOT(ISNUMBER(INDEX(Buildings!$J$7:$J$26,MATCH($A22,Buildings!$A$7:$A$26,0)))),1,0)+IF(NOT(ISNUMBER(INDEX(Buildings!$K$7:$K$26,MATCH($A22,Buildings!$A$7:$A$26,0)))),1,0)+IF(NOT(ISNUMBER(INDEX(Buildings!$L$7:$L$26,MATCH($A22,Buildings!$A$7:$A$26,0)))),1,0)+IF(NOT(ISNUMBER(INDEX(Buildings!$M$7:$M$26,MATCH($A22,Buildings!$A$7:$A$26,0)))),1,0)+IF(NOT(ISNUMBER(INDEX(Buildings!$N$7:$N$26,MATCH($A22,Buildings!$A$7:$A$26,0)))),1,0)+IF(NOT(ISNUMBER(INDEX(Buildings!$O$7:$O$26,MATCH($A22,Buildings!$A$7:$A$26,0)))),1,0)+IF(NOT(ISNUMBER(INDEX(Buildings!$P$7:$P$26,MATCH($A22,Buildings!$A$7:$A$26,0)))),1,0)+IF(INDEX(Buildings!$E$7:$E$26,MATCH($A22,Buildings!$A$7:$A$26,0))&lt;=0,1,0)+IF(INDEX(Buildings!$F$7:$F$26,MATCH($A22,Buildings!$A$7:$A$26,0))&lt;0,1,0)+IF(INDEX(Buildings!$G$7:$G$26,MATCH($A22,Buildings!$A$7:$A$26,0))&lt;0,1,0)+IF(INDEX(Buildings!$H$7:$H$26,MATCH($A22,Buildings!$A$7:$A$26,0))&lt;=0,1,0)+IF(INDEX(Buildings!$H$7:$H$26,MATCH($A22,Buildings!$A$7:$A$26,0))&gt;1,1,0)+IF(INDEX(Buildings!$I$7:$I$26,MATCH($A22,Buildings!$A$7:$A$26,0))&lt;0,1,0)+IF(INDEX(Buildings!$I$7:$I$26,MATCH($A22,Buildings!$A$7:$A$26,0))&gt;1,1,0)+IF(INDEX(Buildings!$K$7:$K$26,MATCH($A22,Buildings!$A$7:$A$26,0))&lt;0,1,0)+IF(INDEX(Buildings!$K$7:$K$26,MATCH($A22,Buildings!$A$7:$A$26,0))&gt;1,1,0)+IF(INDEX(Buildings!$L$7:$L$26,MATCH($A22,Buildings!$A$7:$A$26,0))&lt;=0,1,0)+IF(INDEX(Buildings!$N$7:$N$26,MATCH($A22,Buildings!$A$7:$A$26,0))&lt;0,1,0)+IF(INDEX(Buildings!$N$7:$N$26,MATCH($A22,Buildings!$A$7:$A$26,0))&gt;1,1,0)+IF(INDEX(Buildings!$O$7:$O$26,MATCH($A22,Buildings!$A$7:$A$26,0))&lt;0,1,0)+IF(INDEX(Buildings!$O$7:$O$26,MATCH($A22,Buildings!$A$7:$A$26,0))&gt;INDEX(Buildings!$E$7:$E$26,MATCH($A22,Buildings!$A$7:$A$26,0)),1,0)+IF(INDEX(Buildings!$P$7:$P$26,MATCH($A22,Buildings!$A$7:$A$26,0))&lt;0,1,0)+IF(INDEX(Buildings!$M$7:$M$26,MATCH($A22,Buildings!$A$7:$A$26,0))&lt;0,1,0)+IF(INDEX(Buildings!$J$7:$J$26,MATCH($A22,Buildings!$A$7:$A$26,0))&lt;=0,1,0)+IF(COUNTIFS(Assumptions!$B$7:$B$18,"&lt;=0")&gt;0,1,0)+IF(COUNT(Assumptions!$B$7:$B$23)&lt;&gt;17,1,0)+IF(INDEX(Consultant!$C$7:$C$26,MATCH($A22,Consultant!$A$7:$A$26,0))&lt;=0,1,0)+IF(INDEX(Consultant!$D$7:$D$26,MATCH($A22,Consultant!$A$7:$A$26,0))&lt;=0,1,0)</f>
        <v>0</v>
      </c>
      <c r="D22" s="8">
        <f>COUNTIFS(Buildings!$A$7:$A$26,$A22)</f>
        <v>1</v>
      </c>
      <c r="E22" s="32">
        <f>INDEX(Energy!$I$7:$I$26,MATCH($A22,Energy!$A$7:$A$26,0))-INDEX(Energy!$G$7:$G$26,MATCH($A22,Energy!$A$7:$A$26,0))*(1-INDEX(Buildings!$I$7:$I$26,MATCH($A22,Buildings!$A$7:$A$26,0)))</f>
        <v>0</v>
      </c>
      <c r="F22" s="32">
        <f>INDEX(Energy!$P$7:$P$26,MATCH($A22,Energy!$A$7:$A$26,0))+INDEX(Energy!$N$7:$N$26,MATCH($A22,Energy!$A$7:$A$26,0))-INDEX(Buildings!$G$7:$G$26,MATCH($A22,Buildings!$A$7:$A$26,0))-INDEX(Energy!$K$7:$K$26,MATCH($A22,Energy!$A$7:$A$26,0))</f>
        <v>0</v>
      </c>
      <c r="G22" s="32">
        <f>INDEX(Energy!$M$7:$M$26,MATCH($A22,Energy!$A$7:$A$26,0))-INDEX(Energy!$N$7:$N$26,MATCH($A22,Energy!$A$7:$A$26,0))-INDEX(Energy!$O$7:$O$26,MATCH($A22,Energy!$A$7:$A$26,0))</f>
        <v>0</v>
      </c>
      <c r="H22" s="32">
        <f>INDEX(Consultant!$Q$7:$Q$26,MATCH($A22,Consultant!$A$7:$A$26,0))</f>
        <v>0</v>
      </c>
      <c r="I22" s="32">
        <f>INDEX(CAPEX!$S$7:$S$26,MATCH($A22,CAPEX!$A$7:$A$26,0))-(INDEX(CAPEX!$L$7:$L$26,MATCH($A22,CAPEX!$A$7:$A$26,0))+INDEX(CAPEX!$M$7:$M$26,MATCH($A22,CAPEX!$A$7:$A$26,0))+INDEX(CAPEX!$N$7:$N$26,MATCH($A22,CAPEX!$A$7:$A$26,0))+INDEX(CAPEX!$O$7:$O$26,MATCH($A22,CAPEX!$A$7:$A$26,0)))*(1+Assumptions!$B$19)*(1+Assumptions!$B$20)</f>
        <v>0</v>
      </c>
      <c r="J22" s="32">
        <f>INDEX(CAPEX!$G$7:$G$26,MATCH($A22,CAPEX!$A$7:$A$26,0))-INDEX(CAPEX!$D$7:$D$26,MATCH($A22,CAPEX!$A$7:$A$26,0))</f>
        <v>59.75</v>
      </c>
      <c r="K22" s="8" t="str">
        <f t="shared" si="0"/>
        <v>PASS</v>
      </c>
    </row>
    <row r="23" spans="1:11" ht="22.95" customHeight="1">
      <c r="A23" s="1" t="s">
        <v>168</v>
      </c>
      <c r="B23" s="1" t="str">
        <f>INDEX(Buildings!$B$7:$B$26,MATCH($A23,Buildings!$A$7:$A$26,0))</f>
        <v>Quartz Physics</v>
      </c>
      <c r="C23" s="7">
        <f>IF(COUNTIFS(Buildings!$A$7:$A$26,$A23)&lt;&gt;1,1,0)+IF(NOT(ISNUMBER(INDEX(Buildings!$E$7:$E$26,MATCH($A23,Buildings!$A$7:$A$26,0)))),1,0)+IF(NOT(ISNUMBER(INDEX(Buildings!$F$7:$F$26,MATCH($A23,Buildings!$A$7:$A$26,0)))),1,0)+IF(NOT(ISNUMBER(INDEX(Buildings!$G$7:$G$26,MATCH($A23,Buildings!$A$7:$A$26,0)))),1,0)+IF(NOT(ISNUMBER(INDEX(Buildings!$H$7:$H$26,MATCH($A23,Buildings!$A$7:$A$26,0)))),1,0)+IF(NOT(ISNUMBER(INDEX(Buildings!$I$7:$I$26,MATCH($A23,Buildings!$A$7:$A$26,0)))),1,0)+IF(NOT(ISNUMBER(INDEX(Buildings!$J$7:$J$26,MATCH($A23,Buildings!$A$7:$A$26,0)))),1,0)+IF(NOT(ISNUMBER(INDEX(Buildings!$K$7:$K$26,MATCH($A23,Buildings!$A$7:$A$26,0)))),1,0)+IF(NOT(ISNUMBER(INDEX(Buildings!$L$7:$L$26,MATCH($A23,Buildings!$A$7:$A$26,0)))),1,0)+IF(NOT(ISNUMBER(INDEX(Buildings!$M$7:$M$26,MATCH($A23,Buildings!$A$7:$A$26,0)))),1,0)+IF(NOT(ISNUMBER(INDEX(Buildings!$N$7:$N$26,MATCH($A23,Buildings!$A$7:$A$26,0)))),1,0)+IF(NOT(ISNUMBER(INDEX(Buildings!$O$7:$O$26,MATCH($A23,Buildings!$A$7:$A$26,0)))),1,0)+IF(NOT(ISNUMBER(INDEX(Buildings!$P$7:$P$26,MATCH($A23,Buildings!$A$7:$A$26,0)))),1,0)+IF(INDEX(Buildings!$E$7:$E$26,MATCH($A23,Buildings!$A$7:$A$26,0))&lt;=0,1,0)+IF(INDEX(Buildings!$F$7:$F$26,MATCH($A23,Buildings!$A$7:$A$26,0))&lt;0,1,0)+IF(INDEX(Buildings!$G$7:$G$26,MATCH($A23,Buildings!$A$7:$A$26,0))&lt;0,1,0)+IF(INDEX(Buildings!$H$7:$H$26,MATCH($A23,Buildings!$A$7:$A$26,0))&lt;=0,1,0)+IF(INDEX(Buildings!$H$7:$H$26,MATCH($A23,Buildings!$A$7:$A$26,0))&gt;1,1,0)+IF(INDEX(Buildings!$I$7:$I$26,MATCH($A23,Buildings!$A$7:$A$26,0))&lt;0,1,0)+IF(INDEX(Buildings!$I$7:$I$26,MATCH($A23,Buildings!$A$7:$A$26,0))&gt;1,1,0)+IF(INDEX(Buildings!$K$7:$K$26,MATCH($A23,Buildings!$A$7:$A$26,0))&lt;0,1,0)+IF(INDEX(Buildings!$K$7:$K$26,MATCH($A23,Buildings!$A$7:$A$26,0))&gt;1,1,0)+IF(INDEX(Buildings!$L$7:$L$26,MATCH($A23,Buildings!$A$7:$A$26,0))&lt;=0,1,0)+IF(INDEX(Buildings!$N$7:$N$26,MATCH($A23,Buildings!$A$7:$A$26,0))&lt;0,1,0)+IF(INDEX(Buildings!$N$7:$N$26,MATCH($A23,Buildings!$A$7:$A$26,0))&gt;1,1,0)+IF(INDEX(Buildings!$O$7:$O$26,MATCH($A23,Buildings!$A$7:$A$26,0))&lt;0,1,0)+IF(INDEX(Buildings!$O$7:$O$26,MATCH($A23,Buildings!$A$7:$A$26,0))&gt;INDEX(Buildings!$E$7:$E$26,MATCH($A23,Buildings!$A$7:$A$26,0)),1,0)+IF(INDEX(Buildings!$P$7:$P$26,MATCH($A23,Buildings!$A$7:$A$26,0))&lt;0,1,0)+IF(INDEX(Buildings!$M$7:$M$26,MATCH($A23,Buildings!$A$7:$A$26,0))&lt;0,1,0)+IF(INDEX(Buildings!$J$7:$J$26,MATCH($A23,Buildings!$A$7:$A$26,0))&lt;=0,1,0)+IF(COUNTIFS(Assumptions!$B$7:$B$18,"&lt;=0")&gt;0,1,0)+IF(COUNT(Assumptions!$B$7:$B$23)&lt;&gt;17,1,0)+IF(INDEX(Consultant!$C$7:$C$26,MATCH($A23,Consultant!$A$7:$A$26,0))&lt;=0,1,0)+IF(INDEX(Consultant!$D$7:$D$26,MATCH($A23,Consultant!$A$7:$A$26,0))&lt;=0,1,0)</f>
        <v>0</v>
      </c>
      <c r="D23" s="7">
        <f>COUNTIFS(Buildings!$A$7:$A$26,$A23)</f>
        <v>1</v>
      </c>
      <c r="E23" s="31">
        <f>INDEX(Energy!$I$7:$I$26,MATCH($A23,Energy!$A$7:$A$26,0))-INDEX(Energy!$G$7:$G$26,MATCH($A23,Energy!$A$7:$A$26,0))*(1-INDEX(Buildings!$I$7:$I$26,MATCH($A23,Buildings!$A$7:$A$26,0)))</f>
        <v>0</v>
      </c>
      <c r="F23" s="31">
        <f>INDEX(Energy!$P$7:$P$26,MATCH($A23,Energy!$A$7:$A$26,0))+INDEX(Energy!$N$7:$N$26,MATCH($A23,Energy!$A$7:$A$26,0))-INDEX(Buildings!$G$7:$G$26,MATCH($A23,Buildings!$A$7:$A$26,0))-INDEX(Energy!$K$7:$K$26,MATCH($A23,Energy!$A$7:$A$26,0))</f>
        <v>0</v>
      </c>
      <c r="G23" s="31">
        <f>INDEX(Energy!$M$7:$M$26,MATCH($A23,Energy!$A$7:$A$26,0))-INDEX(Energy!$N$7:$N$26,MATCH($A23,Energy!$A$7:$A$26,0))-INDEX(Energy!$O$7:$O$26,MATCH($A23,Energy!$A$7:$A$26,0))</f>
        <v>0</v>
      </c>
      <c r="H23" s="31">
        <f>INDEX(Consultant!$Q$7:$Q$26,MATCH($A23,Consultant!$A$7:$A$26,0))</f>
        <v>0</v>
      </c>
      <c r="I23" s="31">
        <f>INDEX(CAPEX!$S$7:$S$26,MATCH($A23,CAPEX!$A$7:$A$26,0))-(INDEX(CAPEX!$L$7:$L$26,MATCH($A23,CAPEX!$A$7:$A$26,0))+INDEX(CAPEX!$M$7:$M$26,MATCH($A23,CAPEX!$A$7:$A$26,0))+INDEX(CAPEX!$N$7:$N$26,MATCH($A23,CAPEX!$A$7:$A$26,0))+INDEX(CAPEX!$O$7:$O$26,MATCH($A23,CAPEX!$A$7:$A$26,0)))*(1+Assumptions!$B$19)*(1+Assumptions!$B$20)</f>
        <v>0</v>
      </c>
      <c r="J23" s="31">
        <f>INDEX(CAPEX!$G$7:$G$26,MATCH($A23,CAPEX!$A$7:$A$26,0))-INDEX(CAPEX!$D$7:$D$26,MATCH($A23,CAPEX!$A$7:$A$26,0))</f>
        <v>90.399999999999977</v>
      </c>
      <c r="K23" s="7" t="str">
        <f t="shared" si="0"/>
        <v>PASS</v>
      </c>
    </row>
    <row r="24" spans="1:11" ht="22.95" customHeight="1">
      <c r="A24" s="6" t="s">
        <v>169</v>
      </c>
      <c r="B24" s="6" t="str">
        <f>INDEX(Buildings!$B$7:$B$26,MATCH($A24,Buildings!$A$7:$A$26,0))</f>
        <v>Rowan Graduate House</v>
      </c>
      <c r="C24" s="8">
        <f>IF(COUNTIFS(Buildings!$A$7:$A$26,$A24)&lt;&gt;1,1,0)+IF(NOT(ISNUMBER(INDEX(Buildings!$E$7:$E$26,MATCH($A24,Buildings!$A$7:$A$26,0)))),1,0)+IF(NOT(ISNUMBER(INDEX(Buildings!$F$7:$F$26,MATCH($A24,Buildings!$A$7:$A$26,0)))),1,0)+IF(NOT(ISNUMBER(INDEX(Buildings!$G$7:$G$26,MATCH($A24,Buildings!$A$7:$A$26,0)))),1,0)+IF(NOT(ISNUMBER(INDEX(Buildings!$H$7:$H$26,MATCH($A24,Buildings!$A$7:$A$26,0)))),1,0)+IF(NOT(ISNUMBER(INDEX(Buildings!$I$7:$I$26,MATCH($A24,Buildings!$A$7:$A$26,0)))),1,0)+IF(NOT(ISNUMBER(INDEX(Buildings!$J$7:$J$26,MATCH($A24,Buildings!$A$7:$A$26,0)))),1,0)+IF(NOT(ISNUMBER(INDEX(Buildings!$K$7:$K$26,MATCH($A24,Buildings!$A$7:$A$26,0)))),1,0)+IF(NOT(ISNUMBER(INDEX(Buildings!$L$7:$L$26,MATCH($A24,Buildings!$A$7:$A$26,0)))),1,0)+IF(NOT(ISNUMBER(INDEX(Buildings!$M$7:$M$26,MATCH($A24,Buildings!$A$7:$A$26,0)))),1,0)+IF(NOT(ISNUMBER(INDEX(Buildings!$N$7:$N$26,MATCH($A24,Buildings!$A$7:$A$26,0)))),1,0)+IF(NOT(ISNUMBER(INDEX(Buildings!$O$7:$O$26,MATCH($A24,Buildings!$A$7:$A$26,0)))),1,0)+IF(NOT(ISNUMBER(INDEX(Buildings!$P$7:$P$26,MATCH($A24,Buildings!$A$7:$A$26,0)))),1,0)+IF(INDEX(Buildings!$E$7:$E$26,MATCH($A24,Buildings!$A$7:$A$26,0))&lt;=0,1,0)+IF(INDEX(Buildings!$F$7:$F$26,MATCH($A24,Buildings!$A$7:$A$26,0))&lt;0,1,0)+IF(INDEX(Buildings!$G$7:$G$26,MATCH($A24,Buildings!$A$7:$A$26,0))&lt;0,1,0)+IF(INDEX(Buildings!$H$7:$H$26,MATCH($A24,Buildings!$A$7:$A$26,0))&lt;=0,1,0)+IF(INDEX(Buildings!$H$7:$H$26,MATCH($A24,Buildings!$A$7:$A$26,0))&gt;1,1,0)+IF(INDEX(Buildings!$I$7:$I$26,MATCH($A24,Buildings!$A$7:$A$26,0))&lt;0,1,0)+IF(INDEX(Buildings!$I$7:$I$26,MATCH($A24,Buildings!$A$7:$A$26,0))&gt;1,1,0)+IF(INDEX(Buildings!$K$7:$K$26,MATCH($A24,Buildings!$A$7:$A$26,0))&lt;0,1,0)+IF(INDEX(Buildings!$K$7:$K$26,MATCH($A24,Buildings!$A$7:$A$26,0))&gt;1,1,0)+IF(INDEX(Buildings!$L$7:$L$26,MATCH($A24,Buildings!$A$7:$A$26,0))&lt;=0,1,0)+IF(INDEX(Buildings!$N$7:$N$26,MATCH($A24,Buildings!$A$7:$A$26,0))&lt;0,1,0)+IF(INDEX(Buildings!$N$7:$N$26,MATCH($A24,Buildings!$A$7:$A$26,0))&gt;1,1,0)+IF(INDEX(Buildings!$O$7:$O$26,MATCH($A24,Buildings!$A$7:$A$26,0))&lt;0,1,0)+IF(INDEX(Buildings!$O$7:$O$26,MATCH($A24,Buildings!$A$7:$A$26,0))&gt;INDEX(Buildings!$E$7:$E$26,MATCH($A24,Buildings!$A$7:$A$26,0)),1,0)+IF(INDEX(Buildings!$P$7:$P$26,MATCH($A24,Buildings!$A$7:$A$26,0))&lt;0,1,0)+IF(INDEX(Buildings!$M$7:$M$26,MATCH($A24,Buildings!$A$7:$A$26,0))&lt;0,1,0)+IF(INDEX(Buildings!$J$7:$J$26,MATCH($A24,Buildings!$A$7:$A$26,0))&lt;=0,1,0)+IF(COUNTIFS(Assumptions!$B$7:$B$18,"&lt;=0")&gt;0,1,0)+IF(COUNT(Assumptions!$B$7:$B$23)&lt;&gt;17,1,0)+IF(INDEX(Consultant!$C$7:$C$26,MATCH($A24,Consultant!$A$7:$A$26,0))&lt;=0,1,0)+IF(INDEX(Consultant!$D$7:$D$26,MATCH($A24,Consultant!$A$7:$A$26,0))&lt;=0,1,0)</f>
        <v>0</v>
      </c>
      <c r="D24" s="8">
        <f>COUNTIFS(Buildings!$A$7:$A$26,$A24)</f>
        <v>1</v>
      </c>
      <c r="E24" s="32">
        <f>INDEX(Energy!$I$7:$I$26,MATCH($A24,Energy!$A$7:$A$26,0))-INDEX(Energy!$G$7:$G$26,MATCH($A24,Energy!$A$7:$A$26,0))*(1-INDEX(Buildings!$I$7:$I$26,MATCH($A24,Buildings!$A$7:$A$26,0)))</f>
        <v>0</v>
      </c>
      <c r="F24" s="32">
        <f>INDEX(Energy!$P$7:$P$26,MATCH($A24,Energy!$A$7:$A$26,0))+INDEX(Energy!$N$7:$N$26,MATCH($A24,Energy!$A$7:$A$26,0))-INDEX(Buildings!$G$7:$G$26,MATCH($A24,Buildings!$A$7:$A$26,0))-INDEX(Energy!$K$7:$K$26,MATCH($A24,Energy!$A$7:$A$26,0))</f>
        <v>0</v>
      </c>
      <c r="G24" s="32">
        <f>INDEX(Energy!$M$7:$M$26,MATCH($A24,Energy!$A$7:$A$26,0))-INDEX(Energy!$N$7:$N$26,MATCH($A24,Energy!$A$7:$A$26,0))-INDEX(Energy!$O$7:$O$26,MATCH($A24,Energy!$A$7:$A$26,0))</f>
        <v>0</v>
      </c>
      <c r="H24" s="32">
        <f>INDEX(Consultant!$Q$7:$Q$26,MATCH($A24,Consultant!$A$7:$A$26,0))</f>
        <v>0</v>
      </c>
      <c r="I24" s="32">
        <f>INDEX(CAPEX!$S$7:$S$26,MATCH($A24,CAPEX!$A$7:$A$26,0))-(INDEX(CAPEX!$L$7:$L$26,MATCH($A24,CAPEX!$A$7:$A$26,0))+INDEX(CAPEX!$M$7:$M$26,MATCH($A24,CAPEX!$A$7:$A$26,0))+INDEX(CAPEX!$N$7:$N$26,MATCH($A24,CAPEX!$A$7:$A$26,0))+INDEX(CAPEX!$O$7:$O$26,MATCH($A24,CAPEX!$A$7:$A$26,0)))*(1+Assumptions!$B$19)*(1+Assumptions!$B$20)</f>
        <v>0</v>
      </c>
      <c r="J24" s="32">
        <f>INDEX(CAPEX!$G$7:$G$26,MATCH($A24,CAPEX!$A$7:$A$26,0))-INDEX(CAPEX!$D$7:$D$26,MATCH($A24,CAPEX!$A$7:$A$26,0))</f>
        <v>73.300000000000011</v>
      </c>
      <c r="K24" s="8" t="str">
        <f t="shared" si="0"/>
        <v>PASS</v>
      </c>
    </row>
    <row r="25" spans="1:11" ht="22.95" customHeight="1">
      <c r="A25" s="1" t="s">
        <v>170</v>
      </c>
      <c r="B25" s="1" t="str">
        <f>INDEX(Buildings!$B$7:$B$26,MATCH($A25,Buildings!$A$7:$A$26,0))</f>
        <v>Sycamore Workshop</v>
      </c>
      <c r="C25" s="7">
        <f>IF(COUNTIFS(Buildings!$A$7:$A$26,$A25)&lt;&gt;1,1,0)+IF(NOT(ISNUMBER(INDEX(Buildings!$E$7:$E$26,MATCH($A25,Buildings!$A$7:$A$26,0)))),1,0)+IF(NOT(ISNUMBER(INDEX(Buildings!$F$7:$F$26,MATCH($A25,Buildings!$A$7:$A$26,0)))),1,0)+IF(NOT(ISNUMBER(INDEX(Buildings!$G$7:$G$26,MATCH($A25,Buildings!$A$7:$A$26,0)))),1,0)+IF(NOT(ISNUMBER(INDEX(Buildings!$H$7:$H$26,MATCH($A25,Buildings!$A$7:$A$26,0)))),1,0)+IF(NOT(ISNUMBER(INDEX(Buildings!$I$7:$I$26,MATCH($A25,Buildings!$A$7:$A$26,0)))),1,0)+IF(NOT(ISNUMBER(INDEX(Buildings!$J$7:$J$26,MATCH($A25,Buildings!$A$7:$A$26,0)))),1,0)+IF(NOT(ISNUMBER(INDEX(Buildings!$K$7:$K$26,MATCH($A25,Buildings!$A$7:$A$26,0)))),1,0)+IF(NOT(ISNUMBER(INDEX(Buildings!$L$7:$L$26,MATCH($A25,Buildings!$A$7:$A$26,0)))),1,0)+IF(NOT(ISNUMBER(INDEX(Buildings!$M$7:$M$26,MATCH($A25,Buildings!$A$7:$A$26,0)))),1,0)+IF(NOT(ISNUMBER(INDEX(Buildings!$N$7:$N$26,MATCH($A25,Buildings!$A$7:$A$26,0)))),1,0)+IF(NOT(ISNUMBER(INDEX(Buildings!$O$7:$O$26,MATCH($A25,Buildings!$A$7:$A$26,0)))),1,0)+IF(NOT(ISNUMBER(INDEX(Buildings!$P$7:$P$26,MATCH($A25,Buildings!$A$7:$A$26,0)))),1,0)+IF(INDEX(Buildings!$E$7:$E$26,MATCH($A25,Buildings!$A$7:$A$26,0))&lt;=0,1,0)+IF(INDEX(Buildings!$F$7:$F$26,MATCH($A25,Buildings!$A$7:$A$26,0))&lt;0,1,0)+IF(INDEX(Buildings!$G$7:$G$26,MATCH($A25,Buildings!$A$7:$A$26,0))&lt;0,1,0)+IF(INDEX(Buildings!$H$7:$H$26,MATCH($A25,Buildings!$A$7:$A$26,0))&lt;=0,1,0)+IF(INDEX(Buildings!$H$7:$H$26,MATCH($A25,Buildings!$A$7:$A$26,0))&gt;1,1,0)+IF(INDEX(Buildings!$I$7:$I$26,MATCH($A25,Buildings!$A$7:$A$26,0))&lt;0,1,0)+IF(INDEX(Buildings!$I$7:$I$26,MATCH($A25,Buildings!$A$7:$A$26,0))&gt;1,1,0)+IF(INDEX(Buildings!$K$7:$K$26,MATCH($A25,Buildings!$A$7:$A$26,0))&lt;0,1,0)+IF(INDEX(Buildings!$K$7:$K$26,MATCH($A25,Buildings!$A$7:$A$26,0))&gt;1,1,0)+IF(INDEX(Buildings!$L$7:$L$26,MATCH($A25,Buildings!$A$7:$A$26,0))&lt;=0,1,0)+IF(INDEX(Buildings!$N$7:$N$26,MATCH($A25,Buildings!$A$7:$A$26,0))&lt;0,1,0)+IF(INDEX(Buildings!$N$7:$N$26,MATCH($A25,Buildings!$A$7:$A$26,0))&gt;1,1,0)+IF(INDEX(Buildings!$O$7:$O$26,MATCH($A25,Buildings!$A$7:$A$26,0))&lt;0,1,0)+IF(INDEX(Buildings!$O$7:$O$26,MATCH($A25,Buildings!$A$7:$A$26,0))&gt;INDEX(Buildings!$E$7:$E$26,MATCH($A25,Buildings!$A$7:$A$26,0)),1,0)+IF(INDEX(Buildings!$P$7:$P$26,MATCH($A25,Buildings!$A$7:$A$26,0))&lt;0,1,0)+IF(INDEX(Buildings!$M$7:$M$26,MATCH($A25,Buildings!$A$7:$A$26,0))&lt;0,1,0)+IF(INDEX(Buildings!$J$7:$J$26,MATCH($A25,Buildings!$A$7:$A$26,0))&lt;=0,1,0)+IF(COUNTIFS(Assumptions!$B$7:$B$18,"&lt;=0")&gt;0,1,0)+IF(COUNT(Assumptions!$B$7:$B$23)&lt;&gt;17,1,0)+IF(INDEX(Consultant!$C$7:$C$26,MATCH($A25,Consultant!$A$7:$A$26,0))&lt;=0,1,0)+IF(INDEX(Consultant!$D$7:$D$26,MATCH($A25,Consultant!$A$7:$A$26,0))&lt;=0,1,0)</f>
        <v>0</v>
      </c>
      <c r="D25" s="7">
        <f>COUNTIFS(Buildings!$A$7:$A$26,$A25)</f>
        <v>1</v>
      </c>
      <c r="E25" s="31">
        <f>INDEX(Energy!$I$7:$I$26,MATCH($A25,Energy!$A$7:$A$26,0))-INDEX(Energy!$G$7:$G$26,MATCH($A25,Energy!$A$7:$A$26,0))*(1-INDEX(Buildings!$I$7:$I$26,MATCH($A25,Buildings!$A$7:$A$26,0)))</f>
        <v>0</v>
      </c>
      <c r="F25" s="31">
        <f>INDEX(Energy!$P$7:$P$26,MATCH($A25,Energy!$A$7:$A$26,0))+INDEX(Energy!$N$7:$N$26,MATCH($A25,Energy!$A$7:$A$26,0))-INDEX(Buildings!$G$7:$G$26,MATCH($A25,Buildings!$A$7:$A$26,0))-INDEX(Energy!$K$7:$K$26,MATCH($A25,Energy!$A$7:$A$26,0))</f>
        <v>0</v>
      </c>
      <c r="G25" s="31">
        <f>INDEX(Energy!$M$7:$M$26,MATCH($A25,Energy!$A$7:$A$26,0))-INDEX(Energy!$N$7:$N$26,MATCH($A25,Energy!$A$7:$A$26,0))-INDEX(Energy!$O$7:$O$26,MATCH($A25,Energy!$A$7:$A$26,0))</f>
        <v>0</v>
      </c>
      <c r="H25" s="31">
        <f>INDEX(Consultant!$Q$7:$Q$26,MATCH($A25,Consultant!$A$7:$A$26,0))</f>
        <v>0</v>
      </c>
      <c r="I25" s="31">
        <f>INDEX(CAPEX!$S$7:$S$26,MATCH($A25,CAPEX!$A$7:$A$26,0))-(INDEX(CAPEX!$L$7:$L$26,MATCH($A25,CAPEX!$A$7:$A$26,0))+INDEX(CAPEX!$M$7:$M$26,MATCH($A25,CAPEX!$A$7:$A$26,0))+INDEX(CAPEX!$N$7:$N$26,MATCH($A25,CAPEX!$A$7:$A$26,0))+INDEX(CAPEX!$O$7:$O$26,MATCH($A25,CAPEX!$A$7:$A$26,0)))*(1+Assumptions!$B$19)*(1+Assumptions!$B$20)</f>
        <v>0</v>
      </c>
      <c r="J25" s="31">
        <f>INDEX(CAPEX!$G$7:$G$26,MATCH($A25,CAPEX!$A$7:$A$26,0))-INDEX(CAPEX!$D$7:$D$26,MATCH($A25,CAPEX!$A$7:$A$26,0))</f>
        <v>5.9399999999999977</v>
      </c>
      <c r="K25" s="7" t="str">
        <f t="shared" si="0"/>
        <v>PASS</v>
      </c>
    </row>
    <row r="26" spans="1:11" ht="22.95" customHeight="1">
      <c r="A26" s="6" t="s">
        <v>171</v>
      </c>
      <c r="B26" s="6" t="str">
        <f>INDEX(Buildings!$B$7:$B$26,MATCH($A26,Buildings!$A$7:$A$26,0))</f>
        <v>Willow Innovation</v>
      </c>
      <c r="C26" s="8">
        <f>IF(COUNTIFS(Buildings!$A$7:$A$26,$A26)&lt;&gt;1,1,0)+IF(NOT(ISNUMBER(INDEX(Buildings!$E$7:$E$26,MATCH($A26,Buildings!$A$7:$A$26,0)))),1,0)+IF(NOT(ISNUMBER(INDEX(Buildings!$F$7:$F$26,MATCH($A26,Buildings!$A$7:$A$26,0)))),1,0)+IF(NOT(ISNUMBER(INDEX(Buildings!$G$7:$G$26,MATCH($A26,Buildings!$A$7:$A$26,0)))),1,0)+IF(NOT(ISNUMBER(INDEX(Buildings!$H$7:$H$26,MATCH($A26,Buildings!$A$7:$A$26,0)))),1,0)+IF(NOT(ISNUMBER(INDEX(Buildings!$I$7:$I$26,MATCH($A26,Buildings!$A$7:$A$26,0)))),1,0)+IF(NOT(ISNUMBER(INDEX(Buildings!$J$7:$J$26,MATCH($A26,Buildings!$A$7:$A$26,0)))),1,0)+IF(NOT(ISNUMBER(INDEX(Buildings!$K$7:$K$26,MATCH($A26,Buildings!$A$7:$A$26,0)))),1,0)+IF(NOT(ISNUMBER(INDEX(Buildings!$L$7:$L$26,MATCH($A26,Buildings!$A$7:$A$26,0)))),1,0)+IF(NOT(ISNUMBER(INDEX(Buildings!$M$7:$M$26,MATCH($A26,Buildings!$A$7:$A$26,0)))),1,0)+IF(NOT(ISNUMBER(INDEX(Buildings!$N$7:$N$26,MATCH($A26,Buildings!$A$7:$A$26,0)))),1,0)+IF(NOT(ISNUMBER(INDEX(Buildings!$O$7:$O$26,MATCH($A26,Buildings!$A$7:$A$26,0)))),1,0)+IF(NOT(ISNUMBER(INDEX(Buildings!$P$7:$P$26,MATCH($A26,Buildings!$A$7:$A$26,0)))),1,0)+IF(INDEX(Buildings!$E$7:$E$26,MATCH($A26,Buildings!$A$7:$A$26,0))&lt;=0,1,0)+IF(INDEX(Buildings!$F$7:$F$26,MATCH($A26,Buildings!$A$7:$A$26,0))&lt;0,1,0)+IF(INDEX(Buildings!$G$7:$G$26,MATCH($A26,Buildings!$A$7:$A$26,0))&lt;0,1,0)+IF(INDEX(Buildings!$H$7:$H$26,MATCH($A26,Buildings!$A$7:$A$26,0))&lt;=0,1,0)+IF(INDEX(Buildings!$H$7:$H$26,MATCH($A26,Buildings!$A$7:$A$26,0))&gt;1,1,0)+IF(INDEX(Buildings!$I$7:$I$26,MATCH($A26,Buildings!$A$7:$A$26,0))&lt;0,1,0)+IF(INDEX(Buildings!$I$7:$I$26,MATCH($A26,Buildings!$A$7:$A$26,0))&gt;1,1,0)+IF(INDEX(Buildings!$K$7:$K$26,MATCH($A26,Buildings!$A$7:$A$26,0))&lt;0,1,0)+IF(INDEX(Buildings!$K$7:$K$26,MATCH($A26,Buildings!$A$7:$A$26,0))&gt;1,1,0)+IF(INDEX(Buildings!$L$7:$L$26,MATCH($A26,Buildings!$A$7:$A$26,0))&lt;=0,1,0)+IF(INDEX(Buildings!$N$7:$N$26,MATCH($A26,Buildings!$A$7:$A$26,0))&lt;0,1,0)+IF(INDEX(Buildings!$N$7:$N$26,MATCH($A26,Buildings!$A$7:$A$26,0))&gt;1,1,0)+IF(INDEX(Buildings!$O$7:$O$26,MATCH($A26,Buildings!$A$7:$A$26,0))&lt;0,1,0)+IF(INDEX(Buildings!$O$7:$O$26,MATCH($A26,Buildings!$A$7:$A$26,0))&gt;INDEX(Buildings!$E$7:$E$26,MATCH($A26,Buildings!$A$7:$A$26,0)),1,0)+IF(INDEX(Buildings!$P$7:$P$26,MATCH($A26,Buildings!$A$7:$A$26,0))&lt;0,1,0)+IF(INDEX(Buildings!$M$7:$M$26,MATCH($A26,Buildings!$A$7:$A$26,0))&lt;0,1,0)+IF(INDEX(Buildings!$J$7:$J$26,MATCH($A26,Buildings!$A$7:$A$26,0))&lt;=0,1,0)+IF(COUNTIFS(Assumptions!$B$7:$B$18,"&lt;=0")&gt;0,1,0)+IF(COUNT(Assumptions!$B$7:$B$23)&lt;&gt;17,1,0)+IF(INDEX(Consultant!$C$7:$C$26,MATCH($A26,Consultant!$A$7:$A$26,0))&lt;=0,1,0)+IF(INDEX(Consultant!$D$7:$D$26,MATCH($A26,Consultant!$A$7:$A$26,0))&lt;=0,1,0)</f>
        <v>0</v>
      </c>
      <c r="D26" s="8">
        <f>COUNTIFS(Buildings!$A$7:$A$26,$A26)</f>
        <v>1</v>
      </c>
      <c r="E26" s="32">
        <f>INDEX(Energy!$I$7:$I$26,MATCH($A26,Energy!$A$7:$A$26,0))-INDEX(Energy!$G$7:$G$26,MATCH($A26,Energy!$A$7:$A$26,0))*(1-INDEX(Buildings!$I$7:$I$26,MATCH($A26,Buildings!$A$7:$A$26,0)))</f>
        <v>0</v>
      </c>
      <c r="F26" s="32">
        <f>INDEX(Energy!$P$7:$P$26,MATCH($A26,Energy!$A$7:$A$26,0))+INDEX(Energy!$N$7:$N$26,MATCH($A26,Energy!$A$7:$A$26,0))-INDEX(Buildings!$G$7:$G$26,MATCH($A26,Buildings!$A$7:$A$26,0))-INDEX(Energy!$K$7:$K$26,MATCH($A26,Energy!$A$7:$A$26,0))</f>
        <v>0</v>
      </c>
      <c r="G26" s="32">
        <f>INDEX(Energy!$M$7:$M$26,MATCH($A26,Energy!$A$7:$A$26,0))-INDEX(Energy!$N$7:$N$26,MATCH($A26,Energy!$A$7:$A$26,0))-INDEX(Energy!$O$7:$O$26,MATCH($A26,Energy!$A$7:$A$26,0))</f>
        <v>0</v>
      </c>
      <c r="H26" s="32">
        <f>INDEX(Consultant!$Q$7:$Q$26,MATCH($A26,Consultant!$A$7:$A$26,0))</f>
        <v>0</v>
      </c>
      <c r="I26" s="32">
        <f>INDEX(CAPEX!$S$7:$S$26,MATCH($A26,CAPEX!$A$7:$A$26,0))-(INDEX(CAPEX!$L$7:$L$26,MATCH($A26,CAPEX!$A$7:$A$26,0))+INDEX(CAPEX!$M$7:$M$26,MATCH($A26,CAPEX!$A$7:$A$26,0))+INDEX(CAPEX!$N$7:$N$26,MATCH($A26,CAPEX!$A$7:$A$26,0))+INDEX(CAPEX!$O$7:$O$26,MATCH($A26,CAPEX!$A$7:$A$26,0)))*(1+Assumptions!$B$19)*(1+Assumptions!$B$20)</f>
        <v>0</v>
      </c>
      <c r="J26" s="32">
        <f>INDEX(CAPEX!$G$7:$G$26,MATCH($A26,CAPEX!$A$7:$A$26,0))-INDEX(CAPEX!$D$7:$D$26,MATCH($A26,CAPEX!$A$7:$A$26,0))</f>
        <v>64.800000000000011</v>
      </c>
      <c r="K26" s="8" t="str">
        <f t="shared" si="0"/>
        <v>PASS</v>
      </c>
    </row>
    <row r="27" spans="1:11" ht="22.95" customHeight="1">
      <c r="A27" s="1"/>
      <c r="B27" s="1"/>
      <c r="C27" s="7"/>
      <c r="D27" s="7"/>
      <c r="E27" s="7"/>
      <c r="F27" s="7"/>
      <c r="G27" s="7"/>
      <c r="H27" s="7"/>
      <c r="I27" s="7"/>
      <c r="J27" s="7"/>
      <c r="K27" s="7"/>
    </row>
    <row r="28" spans="1:11" ht="22.95" customHeight="1">
      <c r="A28" s="1"/>
      <c r="B28" s="1"/>
      <c r="C28" s="7"/>
      <c r="D28" s="7"/>
      <c r="E28" s="7"/>
      <c r="F28" s="7"/>
      <c r="G28" s="7"/>
      <c r="H28" s="7"/>
      <c r="I28" s="7"/>
      <c r="J28" s="7"/>
      <c r="K28" s="7"/>
    </row>
    <row r="29" spans="1:11" ht="22.95" customHeight="1">
      <c r="A29" s="1" t="s">
        <v>296</v>
      </c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22.95" customHeight="1">
      <c r="A30" s="1" t="s">
        <v>297</v>
      </c>
      <c r="B30" s="1" t="str">
        <f>IF(COUNTA(Buildings!A7:A26)=20,"PASS","FAIL")</f>
        <v>PASS</v>
      </c>
      <c r="C30" s="1"/>
      <c r="D30" s="1"/>
      <c r="E30" s="1"/>
      <c r="F30" s="1"/>
      <c r="G30" s="1"/>
      <c r="H30" s="1"/>
      <c r="I30" s="1"/>
      <c r="J30" s="1"/>
      <c r="K30" s="1"/>
    </row>
    <row r="31" spans="1:11" ht="22.95" customHeight="1">
      <c r="A31" s="1" t="s">
        <v>298</v>
      </c>
      <c r="B31" s="1" t="str">
        <f>IF(COUNTIFS(K7:K26,"PASS")=20,"PASS","REVIEW")</f>
        <v>PASS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ht="22.95" customHeight="1">
      <c r="A32" s="1" t="s">
        <v>299</v>
      </c>
      <c r="B32" s="1">
        <f>Energy!AD28-(Energy!Y28+Energy!Z28-Energy!AA28)</f>
        <v>0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ht="22.95" customHeight="1">
      <c r="A33" s="1" t="s">
        <v>300</v>
      </c>
      <c r="B33" s="1">
        <f>CAPEX!S28-SUM(Summary!B24:B27)</f>
        <v>0</v>
      </c>
      <c r="C33" s="1"/>
      <c r="D33" s="1"/>
      <c r="E33" s="1"/>
      <c r="F33" s="1"/>
      <c r="G33" s="1"/>
      <c r="H33" s="1"/>
      <c r="I33" s="1"/>
      <c r="J33" s="1"/>
      <c r="K33" s="1"/>
    </row>
    <row r="34" spans="1:11" ht="22.95" customHeight="1">
      <c r="A34" s="1" t="s">
        <v>301</v>
      </c>
      <c r="B34" s="1">
        <f>Energy!U28-SUM(Summary!D24:D27)</f>
        <v>0</v>
      </c>
      <c r="C34" s="1"/>
      <c r="D34" s="1"/>
      <c r="E34" s="1"/>
      <c r="F34" s="1"/>
      <c r="G34" s="1"/>
      <c r="H34" s="1"/>
      <c r="I34" s="1"/>
      <c r="J34" s="1"/>
      <c r="K34" s="1"/>
    </row>
    <row r="35" spans="1:11" ht="22.95" customHeight="1">
      <c r="A35" s="1" t="s">
        <v>302</v>
      </c>
      <c r="B35" s="1" t="str">
        <f>IF(COUNT(Buildings!E7:P26)=240,"PASS","FAIL")</f>
        <v>PASS</v>
      </c>
      <c r="C35" s="1"/>
      <c r="D35" s="1"/>
      <c r="E35" s="1"/>
      <c r="F35" s="1"/>
      <c r="G35" s="1"/>
      <c r="H35" s="1"/>
      <c r="I35" s="1"/>
      <c r="J35" s="1"/>
      <c r="K35" s="1"/>
    </row>
    <row r="36" spans="1:11" ht="22.95" customHeight="1">
      <c r="A36" s="1" t="s">
        <v>303</v>
      </c>
      <c r="B36" s="1" t="str">
        <f>IF(AND(COUNT(Assumptions!B7:B23)=17,MIN(Assumptions!B7:B18)&gt;0,MIN(Assumptions!B19:B23)&gt;=0,MAX(Assumptions!B19:B20)&lt;=1),"PASS","FAIL")</f>
        <v>PASS</v>
      </c>
      <c r="C36" s="1"/>
      <c r="D36" s="1"/>
      <c r="E36" s="1"/>
      <c r="F36" s="1"/>
      <c r="G36" s="1"/>
      <c r="H36" s="1"/>
      <c r="I36" s="1"/>
      <c r="J36" s="1"/>
      <c r="K36" s="1"/>
    </row>
    <row r="37" spans="1:11" ht="22.95" customHeight="1">
      <c r="A37" s="1" t="s">
        <v>304</v>
      </c>
      <c r="B37" s="1" t="str">
        <f>IF(AND(COUNT(Consultant!C7:D26)=40,MIN(Consultant!C7:D26)&gt;0),"PASS","FAIL")</f>
        <v>PASS</v>
      </c>
      <c r="C37" s="1"/>
      <c r="D37" s="1"/>
      <c r="E37" s="1"/>
      <c r="F37" s="1"/>
      <c r="G37" s="1"/>
      <c r="H37" s="1"/>
      <c r="I37" s="1"/>
      <c r="J37" s="1"/>
      <c r="K37" s="1"/>
    </row>
    <row r="38" spans="1:11" ht="22.95" customHeight="1">
      <c r="A38" s="1" t="s">
        <v>305</v>
      </c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ht="22.95" customHeight="1">
      <c r="A39" s="1" t="s">
        <v>306</v>
      </c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ht="22.9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22.9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</sheetData>
  <conditionalFormatting sqref="K7:K26">
    <cfRule type="containsText" dxfId="1" priority="1" operator="containsText" text="FAIL"/>
    <cfRule type="containsText" dxfId="0" priority="2" operator="containsText" text="REVIEW"/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7959F"/>
  </sheetPr>
  <dimension ref="A1:F51"/>
  <sheetViews>
    <sheetView showGridLines="0" tabSelected="1" workbookViewId="0">
      <pane xSplit="2" ySplit="6" topLeftCell="C14" activePane="bottomRight" state="frozen"/>
      <selection pane="topRight"/>
      <selection pane="bottomLeft"/>
      <selection pane="bottomRight" activeCell="A7" sqref="A7"/>
    </sheetView>
  </sheetViews>
  <sheetFormatPr defaultRowHeight="13.8"/>
  <cols>
    <col min="1" max="1" width="28" customWidth="1"/>
    <col min="2" max="2" width="125" customWidth="1"/>
    <col min="3" max="3" width="68" customWidth="1"/>
    <col min="4" max="4" width="30" customWidth="1"/>
    <col min="5" max="5" width="52" customWidth="1"/>
    <col min="6" max="6" width="59" customWidth="1"/>
  </cols>
  <sheetData>
    <row r="1" spans="1:6" ht="22.95" customHeight="1">
      <c r="A1" s="1"/>
      <c r="B1" s="1"/>
      <c r="C1" s="1"/>
      <c r="D1" s="1"/>
      <c r="E1" s="1"/>
      <c r="F1" s="1"/>
    </row>
    <row r="2" spans="1:6" ht="22.95" customHeight="1">
      <c r="A2" s="2" t="s">
        <v>307</v>
      </c>
      <c r="B2" s="1"/>
      <c r="C2" s="1"/>
      <c r="D2" s="1"/>
      <c r="E2" s="1"/>
      <c r="F2" s="1"/>
    </row>
    <row r="3" spans="1:6" ht="22.95" customHeight="1">
      <c r="A3" s="3"/>
      <c r="B3" s="3"/>
      <c r="C3" s="3"/>
      <c r="D3" s="3"/>
      <c r="E3" s="3"/>
      <c r="F3" s="3"/>
    </row>
    <row r="4" spans="1:6" ht="22.95" customHeight="1">
      <c r="A4" s="4" t="s">
        <v>396</v>
      </c>
      <c r="B4" s="1"/>
      <c r="C4" s="1"/>
      <c r="D4" s="1"/>
      <c r="E4" s="1"/>
      <c r="F4" s="1"/>
    </row>
    <row r="5" spans="1:6" ht="22.95" customHeight="1">
      <c r="A5" s="1"/>
      <c r="B5" s="1"/>
      <c r="C5" s="1"/>
      <c r="D5" s="1"/>
      <c r="E5" s="1"/>
      <c r="F5" s="1"/>
    </row>
    <row r="6" spans="1:6" ht="57" customHeight="1">
      <c r="A6" s="5" t="s">
        <v>308</v>
      </c>
      <c r="B6" s="5" t="s">
        <v>309</v>
      </c>
      <c r="C6" s="1"/>
      <c r="D6" s="1"/>
      <c r="E6" s="1"/>
      <c r="F6" s="1"/>
    </row>
    <row r="7" spans="1:6" ht="37.950000000000003" customHeight="1">
      <c r="A7" s="1" t="s">
        <v>310</v>
      </c>
      <c r="B7" s="33" t="s">
        <v>311</v>
      </c>
      <c r="C7" s="1"/>
      <c r="D7" s="1"/>
      <c r="E7" s="1"/>
      <c r="F7" s="1"/>
    </row>
    <row r="8" spans="1:6" ht="37.950000000000003" customHeight="1">
      <c r="A8" s="1" t="s">
        <v>312</v>
      </c>
      <c r="B8" s="33" t="s">
        <v>313</v>
      </c>
      <c r="C8" s="1"/>
      <c r="D8" s="1"/>
      <c r="E8" s="1"/>
      <c r="F8" s="1"/>
    </row>
    <row r="9" spans="1:6" ht="37.950000000000003" customHeight="1">
      <c r="A9" s="1" t="s">
        <v>314</v>
      </c>
      <c r="B9" s="33" t="s">
        <v>315</v>
      </c>
      <c r="C9" s="1"/>
      <c r="D9" s="1"/>
      <c r="E9" s="1"/>
      <c r="F9" s="1"/>
    </row>
    <row r="10" spans="1:6" ht="37.950000000000003" customHeight="1">
      <c r="A10" s="1" t="s">
        <v>316</v>
      </c>
      <c r="B10" s="33" t="s">
        <v>317</v>
      </c>
      <c r="C10" s="1"/>
      <c r="D10" s="1"/>
      <c r="E10" s="1"/>
      <c r="F10" s="1"/>
    </row>
    <row r="11" spans="1:6" ht="37.950000000000003" customHeight="1">
      <c r="A11" s="1" t="s">
        <v>318</v>
      </c>
      <c r="B11" s="33" t="s">
        <v>319</v>
      </c>
      <c r="C11" s="1"/>
      <c r="D11" s="1"/>
      <c r="E11" s="1"/>
      <c r="F11" s="1"/>
    </row>
    <row r="12" spans="1:6" ht="37.950000000000003" customHeight="1">
      <c r="A12" s="1" t="s">
        <v>40</v>
      </c>
      <c r="B12" s="33" t="s">
        <v>320</v>
      </c>
      <c r="C12" s="1"/>
      <c r="D12" s="1"/>
      <c r="E12" s="1"/>
      <c r="F12" s="1"/>
    </row>
    <row r="13" spans="1:6" ht="37.950000000000003" customHeight="1">
      <c r="A13" s="1" t="s">
        <v>321</v>
      </c>
      <c r="B13" s="33" t="s">
        <v>322</v>
      </c>
      <c r="C13" s="1"/>
      <c r="D13" s="1"/>
      <c r="E13" s="1"/>
      <c r="F13" s="1"/>
    </row>
    <row r="14" spans="1:6" ht="37.950000000000003" customHeight="1">
      <c r="A14" s="1" t="s">
        <v>323</v>
      </c>
      <c r="B14" s="33" t="s">
        <v>324</v>
      </c>
      <c r="C14" s="1"/>
      <c r="D14" s="1"/>
      <c r="E14" s="1"/>
      <c r="F14" s="1"/>
    </row>
    <row r="15" spans="1:6" ht="37.950000000000003" customHeight="1">
      <c r="A15" s="1" t="s">
        <v>325</v>
      </c>
      <c r="B15" s="33" t="s">
        <v>326</v>
      </c>
      <c r="C15" s="1"/>
      <c r="D15" s="1"/>
      <c r="E15" s="1"/>
      <c r="F15" s="1"/>
    </row>
    <row r="16" spans="1:6" ht="37.950000000000003" customHeight="1">
      <c r="A16" s="1" t="s">
        <v>327</v>
      </c>
      <c r="B16" s="33" t="s">
        <v>328</v>
      </c>
      <c r="C16" s="1"/>
      <c r="D16" s="1"/>
      <c r="E16" s="1"/>
      <c r="F16" s="1"/>
    </row>
    <row r="17" spans="1:6" ht="37.950000000000003" customHeight="1">
      <c r="A17" s="1" t="s">
        <v>329</v>
      </c>
      <c r="B17" s="33" t="s">
        <v>330</v>
      </c>
      <c r="C17" s="1"/>
      <c r="D17" s="1"/>
      <c r="E17" s="1"/>
      <c r="F17" s="1"/>
    </row>
    <row r="18" spans="1:6" ht="37.950000000000003" customHeight="1">
      <c r="A18" s="1" t="s">
        <v>331</v>
      </c>
      <c r="B18" s="33" t="s">
        <v>332</v>
      </c>
      <c r="C18" s="1"/>
      <c r="D18" s="1"/>
      <c r="E18" s="1"/>
      <c r="F18" s="1"/>
    </row>
    <row r="19" spans="1:6" ht="37.950000000000003" customHeight="1">
      <c r="A19" s="1" t="s">
        <v>333</v>
      </c>
      <c r="B19" s="33" t="s">
        <v>334</v>
      </c>
      <c r="C19" s="1"/>
      <c r="D19" s="1"/>
      <c r="E19" s="1"/>
      <c r="F19" s="1"/>
    </row>
    <row r="20" spans="1:6" ht="37.950000000000003" customHeight="1">
      <c r="A20" s="1" t="s">
        <v>335</v>
      </c>
      <c r="B20" s="33" t="s">
        <v>336</v>
      </c>
      <c r="C20" s="1"/>
      <c r="D20" s="1"/>
      <c r="E20" s="1"/>
      <c r="F20" s="1"/>
    </row>
    <row r="21" spans="1:6" ht="37.950000000000003" customHeight="1">
      <c r="A21" s="1" t="s">
        <v>337</v>
      </c>
      <c r="B21" s="33" t="s">
        <v>338</v>
      </c>
      <c r="C21" s="1"/>
      <c r="D21" s="1"/>
      <c r="E21" s="1"/>
      <c r="F21" s="1"/>
    </row>
    <row r="22" spans="1:6" ht="37.950000000000003" customHeight="1">
      <c r="A22" s="1" t="s">
        <v>339</v>
      </c>
      <c r="B22" s="33" t="s">
        <v>340</v>
      </c>
      <c r="C22" s="1"/>
      <c r="D22" s="1"/>
      <c r="E22" s="1"/>
      <c r="F22" s="1"/>
    </row>
    <row r="23" spans="1:6" ht="37.950000000000003" customHeight="1">
      <c r="A23" s="1" t="s">
        <v>341</v>
      </c>
      <c r="B23" s="33" t="s">
        <v>342</v>
      </c>
      <c r="C23" s="1"/>
      <c r="D23" s="1"/>
      <c r="E23" s="1"/>
      <c r="F23" s="1"/>
    </row>
    <row r="24" spans="1:6" ht="37.950000000000003" customHeight="1">
      <c r="A24" s="1" t="s">
        <v>343</v>
      </c>
      <c r="B24" s="33" t="s">
        <v>344</v>
      </c>
      <c r="C24" s="1"/>
      <c r="D24" s="1"/>
      <c r="E24" s="1"/>
      <c r="F24" s="1"/>
    </row>
    <row r="25" spans="1:6" ht="37.950000000000003" customHeight="1">
      <c r="A25" s="1" t="s">
        <v>345</v>
      </c>
      <c r="B25" s="33" t="s">
        <v>346</v>
      </c>
      <c r="C25" s="1"/>
      <c r="D25" s="1"/>
      <c r="E25" s="1"/>
      <c r="F25" s="1"/>
    </row>
    <row r="26" spans="1:6" ht="37.950000000000003" customHeight="1">
      <c r="A26" s="1" t="s">
        <v>347</v>
      </c>
      <c r="B26" s="33" t="s">
        <v>348</v>
      </c>
      <c r="C26" s="1"/>
      <c r="D26" s="1"/>
      <c r="E26" s="1"/>
      <c r="F26" s="1"/>
    </row>
    <row r="27" spans="1:6" ht="37.950000000000003" customHeight="1">
      <c r="A27" s="1" t="s">
        <v>349</v>
      </c>
      <c r="B27" s="33" t="s">
        <v>350</v>
      </c>
      <c r="C27" s="1"/>
      <c r="D27" s="1"/>
      <c r="E27" s="1"/>
      <c r="F27" s="1"/>
    </row>
    <row r="28" spans="1:6" ht="37.950000000000003" customHeight="1">
      <c r="A28" s="1" t="s">
        <v>351</v>
      </c>
      <c r="B28" s="33" t="s">
        <v>352</v>
      </c>
      <c r="C28" s="1"/>
      <c r="D28" s="1"/>
      <c r="E28" s="1"/>
      <c r="F28" s="1"/>
    </row>
    <row r="29" spans="1:6" ht="22.95" customHeight="1">
      <c r="A29" s="1"/>
      <c r="B29" s="1"/>
      <c r="C29" s="1"/>
      <c r="D29" s="1"/>
      <c r="E29" s="1"/>
      <c r="F29" s="1"/>
    </row>
    <row r="30" spans="1:6" ht="22.95" customHeight="1">
      <c r="A30" s="1"/>
      <c r="B30" s="1"/>
      <c r="C30" s="1"/>
      <c r="D30" s="1"/>
      <c r="E30" s="1"/>
      <c r="F30" s="1"/>
    </row>
    <row r="31" spans="1:6" ht="57" customHeight="1">
      <c r="A31" s="5" t="s">
        <v>54</v>
      </c>
      <c r="B31" s="5" t="s">
        <v>353</v>
      </c>
      <c r="C31" s="5" t="s">
        <v>354</v>
      </c>
      <c r="D31" s="5" t="s">
        <v>355</v>
      </c>
      <c r="E31" s="5" t="s">
        <v>356</v>
      </c>
      <c r="F31" s="5" t="s">
        <v>215</v>
      </c>
    </row>
    <row r="32" spans="1:6" ht="66" customHeight="1">
      <c r="A32" s="1" t="s">
        <v>67</v>
      </c>
      <c r="B32" s="33" t="s">
        <v>357</v>
      </c>
      <c r="C32" s="33" t="s">
        <v>358</v>
      </c>
      <c r="D32" s="33" t="s">
        <v>359</v>
      </c>
      <c r="E32" s="33" t="s">
        <v>360</v>
      </c>
      <c r="F32" s="33" t="s">
        <v>361</v>
      </c>
    </row>
    <row r="33" spans="1:6" ht="66" customHeight="1">
      <c r="A33" s="1" t="s">
        <v>362</v>
      </c>
      <c r="B33" s="33" t="s">
        <v>363</v>
      </c>
      <c r="C33" s="33" t="s">
        <v>364</v>
      </c>
      <c r="D33" s="33" t="s">
        <v>365</v>
      </c>
      <c r="E33" s="33" t="s">
        <v>366</v>
      </c>
      <c r="F33" s="33" t="s">
        <v>367</v>
      </c>
    </row>
    <row r="34" spans="1:6" ht="66" customHeight="1">
      <c r="A34" s="1" t="s">
        <v>368</v>
      </c>
      <c r="B34" s="33" t="s">
        <v>369</v>
      </c>
      <c r="C34" s="33" t="s">
        <v>370</v>
      </c>
      <c r="D34" s="33" t="s">
        <v>371</v>
      </c>
      <c r="E34" s="33" t="s">
        <v>372</v>
      </c>
      <c r="F34" s="33" t="s">
        <v>373</v>
      </c>
    </row>
    <row r="35" spans="1:6" ht="66" customHeight="1">
      <c r="A35" s="1" t="s">
        <v>59</v>
      </c>
      <c r="B35" s="33" t="s">
        <v>374</v>
      </c>
      <c r="C35" s="33" t="s">
        <v>375</v>
      </c>
      <c r="D35" s="33" t="s">
        <v>376</v>
      </c>
      <c r="E35" s="33" t="s">
        <v>377</v>
      </c>
      <c r="F35" s="33" t="s">
        <v>378</v>
      </c>
    </row>
    <row r="36" spans="1:6" ht="66" customHeight="1">
      <c r="A36" s="1" t="s">
        <v>379</v>
      </c>
      <c r="B36" s="33" t="s">
        <v>380</v>
      </c>
      <c r="C36" s="33" t="s">
        <v>381</v>
      </c>
      <c r="D36" s="33" t="s">
        <v>382</v>
      </c>
      <c r="E36" s="33" t="s">
        <v>383</v>
      </c>
      <c r="F36" s="33" t="s">
        <v>384</v>
      </c>
    </row>
    <row r="37" spans="1:6" ht="66" customHeight="1">
      <c r="A37" s="1" t="s">
        <v>385</v>
      </c>
      <c r="B37" s="33" t="s">
        <v>386</v>
      </c>
      <c r="C37" s="33" t="s">
        <v>387</v>
      </c>
      <c r="D37" s="33" t="s">
        <v>382</v>
      </c>
      <c r="E37" s="33" t="s">
        <v>388</v>
      </c>
      <c r="F37" s="33" t="s">
        <v>389</v>
      </c>
    </row>
    <row r="38" spans="1:6" ht="66" customHeight="1">
      <c r="A38" s="1" t="s">
        <v>76</v>
      </c>
      <c r="B38" s="33" t="s">
        <v>390</v>
      </c>
      <c r="C38" s="33" t="s">
        <v>391</v>
      </c>
      <c r="D38" s="33" t="s">
        <v>392</v>
      </c>
      <c r="E38" s="33" t="s">
        <v>393</v>
      </c>
      <c r="F38" s="33" t="s">
        <v>394</v>
      </c>
    </row>
    <row r="39" spans="1:6" ht="22.95" customHeight="1">
      <c r="A39" s="1"/>
      <c r="B39" s="1"/>
      <c r="C39" s="1"/>
      <c r="D39" s="1"/>
      <c r="E39" s="1"/>
      <c r="F39" s="1"/>
    </row>
    <row r="40" spans="1:6" ht="22.95" customHeight="1">
      <c r="A40" s="1"/>
      <c r="B40" s="1"/>
      <c r="C40" s="1"/>
      <c r="D40" s="1"/>
      <c r="E40" s="1"/>
      <c r="F40" s="1"/>
    </row>
    <row r="41" spans="1:6" ht="22.95" customHeight="1">
      <c r="A41" s="1" t="s">
        <v>395</v>
      </c>
      <c r="B41" s="34">
        <v>46320.5</v>
      </c>
      <c r="C41" s="1"/>
      <c r="D41" s="1"/>
      <c r="E41" s="1"/>
      <c r="F41" s="1"/>
    </row>
    <row r="42" spans="1:6" ht="22.95" customHeight="1">
      <c r="A42" s="1"/>
      <c r="B42" s="1"/>
      <c r="C42" s="1"/>
      <c r="D42" s="1"/>
      <c r="E42" s="1"/>
      <c r="F42" s="1"/>
    </row>
    <row r="43" spans="1:6" ht="22.95" customHeight="1">
      <c r="A43" s="1"/>
      <c r="B43" s="1"/>
      <c r="C43" s="1"/>
      <c r="D43" s="1"/>
      <c r="E43" s="1"/>
      <c r="F43" s="1"/>
    </row>
    <row r="44" spans="1:6" ht="22.95" customHeight="1">
      <c r="A44" s="1"/>
      <c r="B44" s="1"/>
      <c r="C44" s="1"/>
      <c r="D44" s="1"/>
      <c r="E44" s="1"/>
      <c r="F44" s="1"/>
    </row>
    <row r="45" spans="1:6" ht="22.95" customHeight="1">
      <c r="A45" s="1"/>
      <c r="B45" s="1"/>
      <c r="C45" s="1"/>
      <c r="D45" s="1"/>
      <c r="E45" s="1"/>
      <c r="F45" s="1"/>
    </row>
    <row r="46" spans="1:6" ht="22.95" customHeight="1">
      <c r="A46" s="1"/>
      <c r="B46" s="1"/>
      <c r="C46" s="1"/>
      <c r="D46" s="1"/>
      <c r="E46" s="1"/>
      <c r="F46" s="1"/>
    </row>
    <row r="47" spans="1:6" ht="22.95" customHeight="1">
      <c r="A47" s="1"/>
      <c r="B47" s="1"/>
      <c r="C47" s="1"/>
      <c r="D47" s="1"/>
      <c r="E47" s="1"/>
      <c r="F47" s="1"/>
    </row>
    <row r="48" spans="1:6" ht="22.95" customHeight="1">
      <c r="A48" s="1"/>
      <c r="B48" s="1"/>
      <c r="C48" s="1"/>
      <c r="D48" s="1"/>
      <c r="E48" s="1"/>
      <c r="F48" s="1"/>
    </row>
    <row r="49" spans="1:6" ht="22.95" customHeight="1">
      <c r="A49" s="1"/>
      <c r="B49" s="1"/>
      <c r="C49" s="1"/>
      <c r="D49" s="1"/>
      <c r="E49" s="1"/>
      <c r="F49" s="1"/>
    </row>
    <row r="50" spans="1:6" ht="22.95" customHeight="1">
      <c r="A50" s="1"/>
      <c r="B50" s="1"/>
      <c r="C50" s="1"/>
      <c r="D50" s="1"/>
      <c r="E50" s="1"/>
      <c r="F50" s="1"/>
    </row>
    <row r="51" spans="1:6" ht="22.95" customHeight="1">
      <c r="A51" s="1"/>
      <c r="B51" s="1"/>
      <c r="C51" s="1"/>
      <c r="D51" s="1"/>
      <c r="E51" s="1"/>
      <c r="F5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Assumptions</vt:lpstr>
      <vt:lpstr>Energy</vt:lpstr>
      <vt:lpstr>CAPEX</vt:lpstr>
      <vt:lpstr>Consultant</vt:lpstr>
      <vt:lpstr>Buildings</vt:lpstr>
      <vt:lpstr>QA</vt:lpstr>
      <vt:lpstr>Guide and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Nabhan Al Mahdi Khan</cp:lastModifiedBy>
  <dcterms:modified xsi:type="dcterms:W3CDTF">2026-10-25T11:57:22Z</dcterms:modified>
</cp:coreProperties>
</file>